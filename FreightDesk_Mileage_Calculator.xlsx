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ote Calculator" sheetId="1" state="visible" r:id="rId3"/>
    <sheet name="ZIP Database" sheetId="2" state="visible" r:id="rId4"/>
    <sheet name="Batch Quotes" sheetId="3" state="visible" r:id="rId5"/>
    <sheet name="Instructio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<sst xmlns="http://schemas.openxmlformats.org/spreadsheetml/2006/main" count="2811" uniqueCount="1612">
  <si>
    <t xml:space="preserve">FreightDesk  —  Offline Mileage &amp; Quote Calculator</t>
  </si>
  <si>
    <t xml:space="preserve">INPUTS</t>
  </si>
  <si>
    <t xml:space="preserve">Origin ZIP (5-digit)</t>
  </si>
  <si>
    <t xml:space="preserve">30301</t>
  </si>
  <si>
    <t xml:space="preserve">Enter the full 5-digit ZIP. Distance is estimated from the 3-digit ZIP zone (ZIP3) centroid.</t>
  </si>
  <si>
    <t xml:space="preserve">Destination ZIP (5-digit)</t>
  </si>
  <si>
    <t xml:space="preserve">07001</t>
  </si>
  <si>
    <t xml:space="preserve">Rate per mile ($/mi)</t>
  </si>
  <si>
    <t xml:space="preserve">Fuel surcharge</t>
  </si>
  <si>
    <t xml:space="preserve">Minimum charge ($)</t>
  </si>
  <si>
    <t xml:space="preserve">Road factor (x straight-line)</t>
  </si>
  <si>
    <t xml:space="preserve">RESULTS</t>
  </si>
  <si>
    <t xml:space="preserve">Origin</t>
  </si>
  <si>
    <t xml:space="preserve">Destination</t>
  </si>
  <si>
    <t xml:space="preserve">Straight-line miles</t>
  </si>
  <si>
    <t xml:space="preserve">Estimated road miles</t>
  </si>
  <si>
    <t xml:space="preserve">Line haul ($)</t>
  </si>
  <si>
    <t xml:space="preserve">Fuel surcharge ($)</t>
  </si>
  <si>
    <t xml:space="preserve">Subtotal ($)</t>
  </si>
  <si>
    <t xml:space="preserve">QUOTE ($)</t>
  </si>
  <si>
    <t xml:space="preserve">Lookup helpers</t>
  </si>
  <si>
    <t xml:space="preserve">Origin ZIP3</t>
  </si>
  <si>
    <t xml:space="preserve">Origin lat</t>
  </si>
  <si>
    <t xml:space="preserve">Origin lon</t>
  </si>
  <si>
    <t xml:space="preserve">Dest ZIP3</t>
  </si>
  <si>
    <t xml:space="preserve">Dest lat</t>
  </si>
  <si>
    <t xml:space="preserve">Dest lon</t>
  </si>
  <si>
    <t xml:space="preserve">zip3</t>
  </si>
  <si>
    <t xml:space="preserve">city</t>
  </si>
  <si>
    <t xml:space="preserve">state</t>
  </si>
  <si>
    <t xml:space="preserve">lat</t>
  </si>
  <si>
    <t xml:space="preserve">lon</t>
  </si>
  <si>
    <t xml:space="preserve">005</t>
  </si>
  <si>
    <t xml:space="preserve">Holtsville</t>
  </si>
  <si>
    <t xml:space="preserve">NY</t>
  </si>
  <si>
    <t xml:space="preserve">006</t>
  </si>
  <si>
    <t xml:space="preserve">San Juan</t>
  </si>
  <si>
    <t xml:space="preserve">PR</t>
  </si>
  <si>
    <t xml:space="preserve">007</t>
  </si>
  <si>
    <t xml:space="preserve">008</t>
  </si>
  <si>
    <t xml:space="preserve">Virgin Islands</t>
  </si>
  <si>
    <t xml:space="preserve">VI</t>
  </si>
  <si>
    <t xml:space="preserve">009</t>
  </si>
  <si>
    <t xml:space="preserve">010</t>
  </si>
  <si>
    <t xml:space="preserve">Springfield</t>
  </si>
  <si>
    <t xml:space="preserve">MA</t>
  </si>
  <si>
    <t xml:space="preserve">011</t>
  </si>
  <si>
    <t xml:space="preserve">012</t>
  </si>
  <si>
    <t xml:space="preserve">Pittsfield</t>
  </si>
  <si>
    <t xml:space="preserve">013</t>
  </si>
  <si>
    <t xml:space="preserve">Greenfield</t>
  </si>
  <si>
    <t xml:space="preserve">014</t>
  </si>
  <si>
    <t xml:space="preserve">Fitchburg</t>
  </si>
  <si>
    <t xml:space="preserve">015</t>
  </si>
  <si>
    <t xml:space="preserve">Worcester</t>
  </si>
  <si>
    <t xml:space="preserve">016</t>
  </si>
  <si>
    <t xml:space="preserve">017</t>
  </si>
  <si>
    <t xml:space="preserve">Framingham</t>
  </si>
  <si>
    <t xml:space="preserve">018</t>
  </si>
  <si>
    <t xml:space="preserve">Woburn</t>
  </si>
  <si>
    <t xml:space="preserve">019</t>
  </si>
  <si>
    <t xml:space="preserve">Lynn</t>
  </si>
  <si>
    <t xml:space="preserve">020</t>
  </si>
  <si>
    <t xml:space="preserve">Brockton</t>
  </si>
  <si>
    <t xml:space="preserve">021</t>
  </si>
  <si>
    <t xml:space="preserve">Boston</t>
  </si>
  <si>
    <t xml:space="preserve">022</t>
  </si>
  <si>
    <t xml:space="preserve">023</t>
  </si>
  <si>
    <t xml:space="preserve">024</t>
  </si>
  <si>
    <t xml:space="preserve">Lexington</t>
  </si>
  <si>
    <t xml:space="preserve">025</t>
  </si>
  <si>
    <t xml:space="preserve">Cape Cod</t>
  </si>
  <si>
    <t xml:space="preserve">026</t>
  </si>
  <si>
    <t xml:space="preserve">027</t>
  </si>
  <si>
    <t xml:space="preserve">Providence</t>
  </si>
  <si>
    <t xml:space="preserve">RI</t>
  </si>
  <si>
    <t xml:space="preserve">028</t>
  </si>
  <si>
    <t xml:space="preserve">029</t>
  </si>
  <si>
    <t xml:space="preserve">030</t>
  </si>
  <si>
    <t xml:space="preserve">Manchester</t>
  </si>
  <si>
    <t xml:space="preserve">NH</t>
  </si>
  <si>
    <t xml:space="preserve">031</t>
  </si>
  <si>
    <t xml:space="preserve">032</t>
  </si>
  <si>
    <t xml:space="preserve">Waterville Valley</t>
  </si>
  <si>
    <t xml:space="preserve">033</t>
  </si>
  <si>
    <t xml:space="preserve">Concord</t>
  </si>
  <si>
    <t xml:space="preserve">034</t>
  </si>
  <si>
    <t xml:space="preserve">Keene</t>
  </si>
  <si>
    <t xml:space="preserve">035</t>
  </si>
  <si>
    <t xml:space="preserve">Littleton</t>
  </si>
  <si>
    <t xml:space="preserve">036</t>
  </si>
  <si>
    <t xml:space="preserve">Bellows Falls</t>
  </si>
  <si>
    <t xml:space="preserve">VT</t>
  </si>
  <si>
    <t xml:space="preserve">037</t>
  </si>
  <si>
    <t xml:space="preserve">White River Junction</t>
  </si>
  <si>
    <t xml:space="preserve">038</t>
  </si>
  <si>
    <t xml:space="preserve">Portsmouth</t>
  </si>
  <si>
    <t xml:space="preserve">039</t>
  </si>
  <si>
    <t xml:space="preserve">040</t>
  </si>
  <si>
    <t xml:space="preserve">Portland</t>
  </si>
  <si>
    <t xml:space="preserve">ME</t>
  </si>
  <si>
    <t xml:space="preserve">041</t>
  </si>
  <si>
    <t xml:space="preserve">042</t>
  </si>
  <si>
    <t xml:space="preserve">Auburn</t>
  </si>
  <si>
    <t xml:space="preserve">043</t>
  </si>
  <si>
    <t xml:space="preserve">Augusta</t>
  </si>
  <si>
    <t xml:space="preserve">044</t>
  </si>
  <si>
    <t xml:space="preserve">Bangor</t>
  </si>
  <si>
    <t xml:space="preserve">045</t>
  </si>
  <si>
    <t xml:space="preserve">Bath</t>
  </si>
  <si>
    <t xml:space="preserve">046</t>
  </si>
  <si>
    <t xml:space="preserve">Ellsworth</t>
  </si>
  <si>
    <t xml:space="preserve">047</t>
  </si>
  <si>
    <t xml:space="preserve">Houlton</t>
  </si>
  <si>
    <t xml:space="preserve">048</t>
  </si>
  <si>
    <t xml:space="preserve">Rockland</t>
  </si>
  <si>
    <t xml:space="preserve">049</t>
  </si>
  <si>
    <t xml:space="preserve">Waterville</t>
  </si>
  <si>
    <t xml:space="preserve">050</t>
  </si>
  <si>
    <t xml:space="preserve">051</t>
  </si>
  <si>
    <t xml:space="preserve">052</t>
  </si>
  <si>
    <t xml:space="preserve">Bennington</t>
  </si>
  <si>
    <t xml:space="preserve">053</t>
  </si>
  <si>
    <t xml:space="preserve">Brattleboro</t>
  </si>
  <si>
    <t xml:space="preserve">054</t>
  </si>
  <si>
    <t xml:space="preserve">Burlington</t>
  </si>
  <si>
    <t xml:space="preserve">055</t>
  </si>
  <si>
    <t xml:space="preserve">Andover</t>
  </si>
  <si>
    <t xml:space="preserve">056</t>
  </si>
  <si>
    <t xml:space="preserve">Montpelier</t>
  </si>
  <si>
    <t xml:space="preserve">057</t>
  </si>
  <si>
    <t xml:space="preserve">Rutland</t>
  </si>
  <si>
    <t xml:space="preserve">058</t>
  </si>
  <si>
    <t xml:space="preserve">St. Johnsbury</t>
  </si>
  <si>
    <t xml:space="preserve">059</t>
  </si>
  <si>
    <t xml:space="preserve">060</t>
  </si>
  <si>
    <t xml:space="preserve">Hartford</t>
  </si>
  <si>
    <t xml:space="preserve">CT</t>
  </si>
  <si>
    <t xml:space="preserve">061</t>
  </si>
  <si>
    <t xml:space="preserve">062</t>
  </si>
  <si>
    <t xml:space="preserve">Willimantic</t>
  </si>
  <si>
    <t xml:space="preserve">063</t>
  </si>
  <si>
    <t xml:space="preserve">New London</t>
  </si>
  <si>
    <t xml:space="preserve">064</t>
  </si>
  <si>
    <t xml:space="preserve">New Haven</t>
  </si>
  <si>
    <t xml:space="preserve">065</t>
  </si>
  <si>
    <t xml:space="preserve">066</t>
  </si>
  <si>
    <t xml:space="preserve">Bridgeport</t>
  </si>
  <si>
    <t xml:space="preserve">067</t>
  </si>
  <si>
    <t xml:space="preserve">Waterbury</t>
  </si>
  <si>
    <t xml:space="preserve">068</t>
  </si>
  <si>
    <t xml:space="preserve">Stamford</t>
  </si>
  <si>
    <t xml:space="preserve">069</t>
  </si>
  <si>
    <t xml:space="preserve">070</t>
  </si>
  <si>
    <t xml:space="preserve">Newark</t>
  </si>
  <si>
    <t xml:space="preserve">NJ</t>
  </si>
  <si>
    <t xml:space="preserve">071</t>
  </si>
  <si>
    <t xml:space="preserve">072</t>
  </si>
  <si>
    <t xml:space="preserve">Elizabeth</t>
  </si>
  <si>
    <t xml:space="preserve">073</t>
  </si>
  <si>
    <t xml:space="preserve">Jersey City</t>
  </si>
  <si>
    <t xml:space="preserve">074</t>
  </si>
  <si>
    <t xml:space="preserve">Paterson</t>
  </si>
  <si>
    <t xml:space="preserve">075</t>
  </si>
  <si>
    <t xml:space="preserve">076</t>
  </si>
  <si>
    <t xml:space="preserve">Hackensack</t>
  </si>
  <si>
    <t xml:space="preserve">077</t>
  </si>
  <si>
    <t xml:space="preserve">Red Bank</t>
  </si>
  <si>
    <t xml:space="preserve">078</t>
  </si>
  <si>
    <t xml:space="preserve">Dover</t>
  </si>
  <si>
    <t xml:space="preserve">079</t>
  </si>
  <si>
    <t xml:space="preserve">Summit</t>
  </si>
  <si>
    <t xml:space="preserve">080</t>
  </si>
  <si>
    <t xml:space="preserve">Cherry Hill</t>
  </si>
  <si>
    <t xml:space="preserve">081</t>
  </si>
  <si>
    <t xml:space="preserve">Camden</t>
  </si>
  <si>
    <t xml:space="preserve">082</t>
  </si>
  <si>
    <t xml:space="preserve">Atlantic City</t>
  </si>
  <si>
    <t xml:space="preserve">083</t>
  </si>
  <si>
    <t xml:space="preserve">Bridgeton</t>
  </si>
  <si>
    <t xml:space="preserve">084</t>
  </si>
  <si>
    <t xml:space="preserve">085</t>
  </si>
  <si>
    <t xml:space="preserve">Trenton</t>
  </si>
  <si>
    <t xml:space="preserve">086</t>
  </si>
  <si>
    <t xml:space="preserve">087</t>
  </si>
  <si>
    <t xml:space="preserve">Lakewood</t>
  </si>
  <si>
    <t xml:space="preserve">088</t>
  </si>
  <si>
    <t xml:space="preserve">New Brunswick</t>
  </si>
  <si>
    <t xml:space="preserve">089</t>
  </si>
  <si>
    <t xml:space="preserve">100</t>
  </si>
  <si>
    <t xml:space="preserve">New York</t>
  </si>
  <si>
    <t xml:space="preserve">101</t>
  </si>
  <si>
    <t xml:space="preserve">102</t>
  </si>
  <si>
    <t xml:space="preserve">103</t>
  </si>
  <si>
    <t xml:space="preserve">Staten Island</t>
  </si>
  <si>
    <t xml:space="preserve">104</t>
  </si>
  <si>
    <t xml:space="preserve">The Bronx</t>
  </si>
  <si>
    <t xml:space="preserve">105</t>
  </si>
  <si>
    <t xml:space="preserve">White Plains</t>
  </si>
  <si>
    <t xml:space="preserve">106</t>
  </si>
  <si>
    <t xml:space="preserve">107</t>
  </si>
  <si>
    <t xml:space="preserve">Yonkers</t>
  </si>
  <si>
    <t xml:space="preserve">108</t>
  </si>
  <si>
    <t xml:space="preserve">New Rochelle</t>
  </si>
  <si>
    <t xml:space="preserve">109</t>
  </si>
  <si>
    <t xml:space="preserve">Suffern</t>
  </si>
  <si>
    <t xml:space="preserve">110</t>
  </si>
  <si>
    <t xml:space="preserve">Floral Park</t>
  </si>
  <si>
    <t xml:space="preserve">111</t>
  </si>
  <si>
    <t xml:space="preserve">Long Island City</t>
  </si>
  <si>
    <t xml:space="preserve">112</t>
  </si>
  <si>
    <t xml:space="preserve">Brooklyn</t>
  </si>
  <si>
    <t xml:space="preserve">113</t>
  </si>
  <si>
    <t xml:space="preserve">Flushing</t>
  </si>
  <si>
    <t xml:space="preserve">114</t>
  </si>
  <si>
    <t xml:space="preserve">Jamaica</t>
  </si>
  <si>
    <t xml:space="preserve">115</t>
  </si>
  <si>
    <t xml:space="preserve">Mineola</t>
  </si>
  <si>
    <t xml:space="preserve">116</t>
  </si>
  <si>
    <t xml:space="preserve">Far Rockaway</t>
  </si>
  <si>
    <t xml:space="preserve">117</t>
  </si>
  <si>
    <t xml:space="preserve">Amityville</t>
  </si>
  <si>
    <t xml:space="preserve">118</t>
  </si>
  <si>
    <t xml:space="preserve">Hicksville</t>
  </si>
  <si>
    <t xml:space="preserve">119</t>
  </si>
  <si>
    <t xml:space="preserve">Riverhead</t>
  </si>
  <si>
    <t xml:space="preserve">120</t>
  </si>
  <si>
    <t xml:space="preserve">Albany</t>
  </si>
  <si>
    <t xml:space="preserve">121</t>
  </si>
  <si>
    <t xml:space="preserve">122</t>
  </si>
  <si>
    <t xml:space="preserve">123</t>
  </si>
  <si>
    <t xml:space="preserve">Schenectady</t>
  </si>
  <si>
    <t xml:space="preserve">124</t>
  </si>
  <si>
    <t xml:space="preserve">Kingston</t>
  </si>
  <si>
    <t xml:space="preserve">125</t>
  </si>
  <si>
    <t xml:space="preserve">Poughkeepsie</t>
  </si>
  <si>
    <t xml:space="preserve">126</t>
  </si>
  <si>
    <t xml:space="preserve">127</t>
  </si>
  <si>
    <t xml:space="preserve">Monticello</t>
  </si>
  <si>
    <t xml:space="preserve">128</t>
  </si>
  <si>
    <t xml:space="preserve">Glens Falls</t>
  </si>
  <si>
    <t xml:space="preserve">129</t>
  </si>
  <si>
    <t xml:space="preserve">Plattsburgh</t>
  </si>
  <si>
    <t xml:space="preserve">130</t>
  </si>
  <si>
    <t xml:space="preserve">Syracuse</t>
  </si>
  <si>
    <t xml:space="preserve">131</t>
  </si>
  <si>
    <t xml:space="preserve">132</t>
  </si>
  <si>
    <t xml:space="preserve">133</t>
  </si>
  <si>
    <t xml:space="preserve">Utica</t>
  </si>
  <si>
    <t xml:space="preserve">134</t>
  </si>
  <si>
    <t xml:space="preserve">135</t>
  </si>
  <si>
    <t xml:space="preserve">136</t>
  </si>
  <si>
    <t xml:space="preserve">Watertown</t>
  </si>
  <si>
    <t xml:space="preserve">137</t>
  </si>
  <si>
    <t xml:space="preserve">Binghamton</t>
  </si>
  <si>
    <t xml:space="preserve">138</t>
  </si>
  <si>
    <t xml:space="preserve">139</t>
  </si>
  <si>
    <t xml:space="preserve">140</t>
  </si>
  <si>
    <t xml:space="preserve">Buffalo</t>
  </si>
  <si>
    <t xml:space="preserve">141</t>
  </si>
  <si>
    <t xml:space="preserve">142</t>
  </si>
  <si>
    <t xml:space="preserve">143</t>
  </si>
  <si>
    <t xml:space="preserve">Niagara Falls</t>
  </si>
  <si>
    <t xml:space="preserve">144</t>
  </si>
  <si>
    <t xml:space="preserve">Rochester</t>
  </si>
  <si>
    <t xml:space="preserve">145</t>
  </si>
  <si>
    <t xml:space="preserve">146</t>
  </si>
  <si>
    <t xml:space="preserve">147</t>
  </si>
  <si>
    <t xml:space="preserve">Jamestown</t>
  </si>
  <si>
    <t xml:space="preserve">148</t>
  </si>
  <si>
    <t xml:space="preserve">Elmira</t>
  </si>
  <si>
    <t xml:space="preserve">149</t>
  </si>
  <si>
    <t xml:space="preserve">150</t>
  </si>
  <si>
    <t xml:space="preserve">Pittsburgh</t>
  </si>
  <si>
    <t xml:space="preserve">PA</t>
  </si>
  <si>
    <t xml:space="preserve">151</t>
  </si>
  <si>
    <t xml:space="preserve">152</t>
  </si>
  <si>
    <t xml:space="preserve">153</t>
  </si>
  <si>
    <t xml:space="preserve">Washington</t>
  </si>
  <si>
    <t xml:space="preserve">154</t>
  </si>
  <si>
    <t xml:space="preserve">Uniontown</t>
  </si>
  <si>
    <t xml:space="preserve">155</t>
  </si>
  <si>
    <t xml:space="preserve">Somerset</t>
  </si>
  <si>
    <t xml:space="preserve">156</t>
  </si>
  <si>
    <t xml:space="preserve">Greensburg</t>
  </si>
  <si>
    <t xml:space="preserve">157</t>
  </si>
  <si>
    <t xml:space="preserve">Indiana</t>
  </si>
  <si>
    <t xml:space="preserve">158</t>
  </si>
  <si>
    <t xml:space="preserve">DuBois</t>
  </si>
  <si>
    <t xml:space="preserve">159</t>
  </si>
  <si>
    <t xml:space="preserve">Johnstown</t>
  </si>
  <si>
    <t xml:space="preserve">160</t>
  </si>
  <si>
    <t xml:space="preserve">Butler</t>
  </si>
  <si>
    <t xml:space="preserve">161</t>
  </si>
  <si>
    <t xml:space="preserve">New Castle</t>
  </si>
  <si>
    <t xml:space="preserve">162</t>
  </si>
  <si>
    <t xml:space="preserve">Kittanning</t>
  </si>
  <si>
    <t xml:space="preserve">163</t>
  </si>
  <si>
    <t xml:space="preserve">Oil City</t>
  </si>
  <si>
    <t xml:space="preserve">164</t>
  </si>
  <si>
    <t xml:space="preserve">Erie</t>
  </si>
  <si>
    <t xml:space="preserve">165</t>
  </si>
  <si>
    <t xml:space="preserve">166</t>
  </si>
  <si>
    <t xml:space="preserve">Altoona</t>
  </si>
  <si>
    <t xml:space="preserve">167</t>
  </si>
  <si>
    <t xml:space="preserve">Bradford</t>
  </si>
  <si>
    <t xml:space="preserve">168</t>
  </si>
  <si>
    <t xml:space="preserve">State College</t>
  </si>
  <si>
    <t xml:space="preserve">169</t>
  </si>
  <si>
    <t xml:space="preserve">Wellsboro</t>
  </si>
  <si>
    <t xml:space="preserve">170</t>
  </si>
  <si>
    <t xml:space="preserve">Harrisburg</t>
  </si>
  <si>
    <t xml:space="preserve">171</t>
  </si>
  <si>
    <t xml:space="preserve">172</t>
  </si>
  <si>
    <t xml:space="preserve">Chambersburg</t>
  </si>
  <si>
    <t xml:space="preserve">173</t>
  </si>
  <si>
    <t xml:space="preserve">York</t>
  </si>
  <si>
    <t xml:space="preserve">174</t>
  </si>
  <si>
    <t xml:space="preserve">175</t>
  </si>
  <si>
    <t xml:space="preserve">Lancaster</t>
  </si>
  <si>
    <t xml:space="preserve">176</t>
  </si>
  <si>
    <t xml:space="preserve">177</t>
  </si>
  <si>
    <t xml:space="preserve">Williamsport</t>
  </si>
  <si>
    <t xml:space="preserve">178</t>
  </si>
  <si>
    <t xml:space="preserve">Sunbury</t>
  </si>
  <si>
    <t xml:space="preserve">179</t>
  </si>
  <si>
    <t xml:space="preserve">Pottsville</t>
  </si>
  <si>
    <t xml:space="preserve">180</t>
  </si>
  <si>
    <t xml:space="preserve">Lehigh Valley</t>
  </si>
  <si>
    <t xml:space="preserve">181</t>
  </si>
  <si>
    <t xml:space="preserve">Allentown</t>
  </si>
  <si>
    <t xml:space="preserve">182</t>
  </si>
  <si>
    <t xml:space="preserve">Hazleton</t>
  </si>
  <si>
    <t xml:space="preserve">183</t>
  </si>
  <si>
    <t xml:space="preserve">East Stroudsburg</t>
  </si>
  <si>
    <t xml:space="preserve">184</t>
  </si>
  <si>
    <t xml:space="preserve">Scranton</t>
  </si>
  <si>
    <t xml:space="preserve">185</t>
  </si>
  <si>
    <t xml:space="preserve">186</t>
  </si>
  <si>
    <t xml:space="preserve">Wilkes-Barre</t>
  </si>
  <si>
    <t xml:space="preserve">187</t>
  </si>
  <si>
    <t xml:space="preserve">188</t>
  </si>
  <si>
    <t xml:space="preserve">Montrose</t>
  </si>
  <si>
    <t xml:space="preserve">189</t>
  </si>
  <si>
    <t xml:space="preserve">Doylestown</t>
  </si>
  <si>
    <t xml:space="preserve">190</t>
  </si>
  <si>
    <t xml:space="preserve">Philadelphia</t>
  </si>
  <si>
    <t xml:space="preserve">191</t>
  </si>
  <si>
    <t xml:space="preserve">192</t>
  </si>
  <si>
    <t xml:space="preserve">193</t>
  </si>
  <si>
    <t xml:space="preserve">Paoli</t>
  </si>
  <si>
    <t xml:space="preserve">194</t>
  </si>
  <si>
    <t xml:space="preserve">Norristown</t>
  </si>
  <si>
    <t xml:space="preserve">195</t>
  </si>
  <si>
    <t xml:space="preserve">Reading</t>
  </si>
  <si>
    <t xml:space="preserve">196</t>
  </si>
  <si>
    <t xml:space="preserve">197</t>
  </si>
  <si>
    <t xml:space="preserve">Wilmington</t>
  </si>
  <si>
    <t xml:space="preserve">DE</t>
  </si>
  <si>
    <t xml:space="preserve">198</t>
  </si>
  <si>
    <t xml:space="preserve">199</t>
  </si>
  <si>
    <t xml:space="preserve">200</t>
  </si>
  <si>
    <t xml:space="preserve">DC</t>
  </si>
  <si>
    <t xml:space="preserve">201</t>
  </si>
  <si>
    <t xml:space="preserve">Dulles</t>
  </si>
  <si>
    <t xml:space="preserve">VA</t>
  </si>
  <si>
    <t xml:space="preserve">202</t>
  </si>
  <si>
    <t xml:space="preserve">203</t>
  </si>
  <si>
    <t xml:space="preserve">204</t>
  </si>
  <si>
    <t xml:space="preserve">205</t>
  </si>
  <si>
    <t xml:space="preserve">206</t>
  </si>
  <si>
    <t xml:space="preserve">Waldorf</t>
  </si>
  <si>
    <t xml:space="preserve">MD</t>
  </si>
  <si>
    <t xml:space="preserve">207</t>
  </si>
  <si>
    <t xml:space="preserve">Annapolis Junction</t>
  </si>
  <si>
    <t xml:space="preserve">208</t>
  </si>
  <si>
    <t xml:space="preserve">Bethesda</t>
  </si>
  <si>
    <t xml:space="preserve">209</t>
  </si>
  <si>
    <t xml:space="preserve">Silver Spring</t>
  </si>
  <si>
    <t xml:space="preserve">210</t>
  </si>
  <si>
    <t xml:space="preserve">Baltimore</t>
  </si>
  <si>
    <t xml:space="preserve">211</t>
  </si>
  <si>
    <t xml:space="preserve">212</t>
  </si>
  <si>
    <t xml:space="preserve">214</t>
  </si>
  <si>
    <t xml:space="preserve">Annapolis</t>
  </si>
  <si>
    <t xml:space="preserve">215</t>
  </si>
  <si>
    <t xml:space="preserve">Cumberland</t>
  </si>
  <si>
    <t xml:space="preserve">216</t>
  </si>
  <si>
    <t xml:space="preserve">Easton</t>
  </si>
  <si>
    <t xml:space="preserve">217</t>
  </si>
  <si>
    <t xml:space="preserve">Frederick</t>
  </si>
  <si>
    <t xml:space="preserve">218</t>
  </si>
  <si>
    <t xml:space="preserve">Salisbury</t>
  </si>
  <si>
    <t xml:space="preserve">219</t>
  </si>
  <si>
    <t xml:space="preserve">Cecil County</t>
  </si>
  <si>
    <t xml:space="preserve">220</t>
  </si>
  <si>
    <t xml:space="preserve">221</t>
  </si>
  <si>
    <t xml:space="preserve">222</t>
  </si>
  <si>
    <t xml:space="preserve">Arlington</t>
  </si>
  <si>
    <t xml:space="preserve">223</t>
  </si>
  <si>
    <t xml:space="preserve">Alexandria</t>
  </si>
  <si>
    <t xml:space="preserve">224</t>
  </si>
  <si>
    <t xml:space="preserve">Fredericksburg</t>
  </si>
  <si>
    <t xml:space="preserve">225</t>
  </si>
  <si>
    <t xml:space="preserve">226</t>
  </si>
  <si>
    <t xml:space="preserve">Winchester</t>
  </si>
  <si>
    <t xml:space="preserve">227</t>
  </si>
  <si>
    <t xml:space="preserve">Culpeper</t>
  </si>
  <si>
    <t xml:space="preserve">228</t>
  </si>
  <si>
    <t xml:space="preserve">Harrisonburg</t>
  </si>
  <si>
    <t xml:space="preserve">229</t>
  </si>
  <si>
    <t xml:space="preserve">Charlottesville</t>
  </si>
  <si>
    <t xml:space="preserve">230</t>
  </si>
  <si>
    <t xml:space="preserve">Richmond</t>
  </si>
  <si>
    <t xml:space="preserve">231</t>
  </si>
  <si>
    <t xml:space="preserve">232</t>
  </si>
  <si>
    <t xml:space="preserve">233</t>
  </si>
  <si>
    <t xml:space="preserve">Norfolk</t>
  </si>
  <si>
    <t xml:space="preserve">234</t>
  </si>
  <si>
    <t xml:space="preserve">235</t>
  </si>
  <si>
    <t xml:space="preserve">236</t>
  </si>
  <si>
    <t xml:space="preserve">Newport News</t>
  </si>
  <si>
    <t xml:space="preserve">237</t>
  </si>
  <si>
    <t xml:space="preserve">238</t>
  </si>
  <si>
    <t xml:space="preserve">Petersburg</t>
  </si>
  <si>
    <t xml:space="preserve">239</t>
  </si>
  <si>
    <t xml:space="preserve">Farmville</t>
  </si>
  <si>
    <t xml:space="preserve">240</t>
  </si>
  <si>
    <t xml:space="preserve">Roanoke</t>
  </si>
  <si>
    <t xml:space="preserve">241</t>
  </si>
  <si>
    <t xml:space="preserve">242</t>
  </si>
  <si>
    <t xml:space="preserve">Bristol</t>
  </si>
  <si>
    <t xml:space="preserve">243</t>
  </si>
  <si>
    <t xml:space="preserve">Pulaski</t>
  </si>
  <si>
    <t xml:space="preserve">244</t>
  </si>
  <si>
    <t xml:space="preserve">Staunton</t>
  </si>
  <si>
    <t xml:space="preserve">245</t>
  </si>
  <si>
    <t xml:space="preserve">Lynchburg</t>
  </si>
  <si>
    <t xml:space="preserve">246</t>
  </si>
  <si>
    <t xml:space="preserve">Bluefield</t>
  </si>
  <si>
    <t xml:space="preserve">WV</t>
  </si>
  <si>
    <t xml:space="preserve">247</t>
  </si>
  <si>
    <t xml:space="preserve">248</t>
  </si>
  <si>
    <t xml:space="preserve">Welch</t>
  </si>
  <si>
    <t xml:space="preserve">249</t>
  </si>
  <si>
    <t xml:space="preserve">Lewisburg</t>
  </si>
  <si>
    <t xml:space="preserve">250</t>
  </si>
  <si>
    <t xml:space="preserve">Charleston</t>
  </si>
  <si>
    <t xml:space="preserve">251</t>
  </si>
  <si>
    <t xml:space="preserve">252</t>
  </si>
  <si>
    <t xml:space="preserve">253</t>
  </si>
  <si>
    <t xml:space="preserve">254</t>
  </si>
  <si>
    <t xml:space="preserve">Martinsburg</t>
  </si>
  <si>
    <t xml:space="preserve">255</t>
  </si>
  <si>
    <t xml:space="preserve">Huntington</t>
  </si>
  <si>
    <t xml:space="preserve">256</t>
  </si>
  <si>
    <t xml:space="preserve">Logan</t>
  </si>
  <si>
    <t xml:space="preserve">257</t>
  </si>
  <si>
    <t xml:space="preserve">258</t>
  </si>
  <si>
    <t xml:space="preserve">Beckley</t>
  </si>
  <si>
    <t xml:space="preserve">259</t>
  </si>
  <si>
    <t xml:space="preserve">260</t>
  </si>
  <si>
    <t xml:space="preserve">Wheeling</t>
  </si>
  <si>
    <t xml:space="preserve">261</t>
  </si>
  <si>
    <t xml:space="preserve">Parkersburg</t>
  </si>
  <si>
    <t xml:space="preserve">262</t>
  </si>
  <si>
    <t xml:space="preserve">Clarksburg</t>
  </si>
  <si>
    <t xml:space="preserve">263</t>
  </si>
  <si>
    <t xml:space="preserve">264</t>
  </si>
  <si>
    <t xml:space="preserve">265</t>
  </si>
  <si>
    <t xml:space="preserve">Morgantown</t>
  </si>
  <si>
    <t xml:space="preserve">266</t>
  </si>
  <si>
    <t xml:space="preserve">Sutton</t>
  </si>
  <si>
    <t xml:space="preserve">267</t>
  </si>
  <si>
    <t xml:space="preserve">268</t>
  </si>
  <si>
    <t xml:space="preserve">270</t>
  </si>
  <si>
    <t xml:space="preserve">Winston-Salem</t>
  </si>
  <si>
    <t xml:space="preserve">NC</t>
  </si>
  <si>
    <t xml:space="preserve">271</t>
  </si>
  <si>
    <t xml:space="preserve">272</t>
  </si>
  <si>
    <t xml:space="preserve">Greensboro</t>
  </si>
  <si>
    <t xml:space="preserve">273</t>
  </si>
  <si>
    <t xml:space="preserve">274</t>
  </si>
  <si>
    <t xml:space="preserve">275</t>
  </si>
  <si>
    <t xml:space="preserve">Raleigh</t>
  </si>
  <si>
    <t xml:space="preserve">276</t>
  </si>
  <si>
    <t xml:space="preserve">277</t>
  </si>
  <si>
    <t xml:space="preserve">Durham</t>
  </si>
  <si>
    <t xml:space="preserve">278</t>
  </si>
  <si>
    <t xml:space="preserve">Rocky Mount</t>
  </si>
  <si>
    <t xml:space="preserve">279</t>
  </si>
  <si>
    <t xml:space="preserve">Elizabeth City</t>
  </si>
  <si>
    <t xml:space="preserve">280</t>
  </si>
  <si>
    <t xml:space="preserve">Charlotte</t>
  </si>
  <si>
    <t xml:space="preserve">281</t>
  </si>
  <si>
    <t xml:space="preserve">282</t>
  </si>
  <si>
    <t xml:space="preserve">283</t>
  </si>
  <si>
    <t xml:space="preserve">Fayetteville</t>
  </si>
  <si>
    <t xml:space="preserve">284</t>
  </si>
  <si>
    <t xml:space="preserve">285</t>
  </si>
  <si>
    <t xml:space="preserve">Kinston</t>
  </si>
  <si>
    <t xml:space="preserve">286</t>
  </si>
  <si>
    <t xml:space="preserve">Hickory</t>
  </si>
  <si>
    <t xml:space="preserve">287</t>
  </si>
  <si>
    <t xml:space="preserve">Asheville</t>
  </si>
  <si>
    <t xml:space="preserve">288</t>
  </si>
  <si>
    <t xml:space="preserve">289</t>
  </si>
  <si>
    <t xml:space="preserve">Andrews</t>
  </si>
  <si>
    <t xml:space="preserve">290</t>
  </si>
  <si>
    <t xml:space="preserve">Columbia</t>
  </si>
  <si>
    <t xml:space="preserve">SC</t>
  </si>
  <si>
    <t xml:space="preserve">291</t>
  </si>
  <si>
    <t xml:space="preserve">292</t>
  </si>
  <si>
    <t xml:space="preserve">293</t>
  </si>
  <si>
    <t xml:space="preserve">Spartanburg</t>
  </si>
  <si>
    <t xml:space="preserve">294</t>
  </si>
  <si>
    <t xml:space="preserve">295</t>
  </si>
  <si>
    <t xml:space="preserve">Florence</t>
  </si>
  <si>
    <t xml:space="preserve">296</t>
  </si>
  <si>
    <t xml:space="preserve">Greenville</t>
  </si>
  <si>
    <t xml:space="preserve">297</t>
  </si>
  <si>
    <t xml:space="preserve">298</t>
  </si>
  <si>
    <t xml:space="preserve">GA</t>
  </si>
  <si>
    <t xml:space="preserve">299</t>
  </si>
  <si>
    <t xml:space="preserve">Beaufort</t>
  </si>
  <si>
    <t xml:space="preserve">300</t>
  </si>
  <si>
    <t xml:space="preserve">Atlanta</t>
  </si>
  <si>
    <t xml:space="preserve">301</t>
  </si>
  <si>
    <t xml:space="preserve">302</t>
  </si>
  <si>
    <t xml:space="preserve">303</t>
  </si>
  <si>
    <t xml:space="preserve">304</t>
  </si>
  <si>
    <t xml:space="preserve">Swainsboro</t>
  </si>
  <si>
    <t xml:space="preserve">305</t>
  </si>
  <si>
    <t xml:space="preserve">Gainesville</t>
  </si>
  <si>
    <t xml:space="preserve">306</t>
  </si>
  <si>
    <t xml:space="preserve">Athens</t>
  </si>
  <si>
    <t xml:space="preserve">307</t>
  </si>
  <si>
    <t xml:space="preserve">Chattanooga</t>
  </si>
  <si>
    <t xml:space="preserve">TN</t>
  </si>
  <si>
    <t xml:space="preserve">308</t>
  </si>
  <si>
    <t xml:space="preserve">309</t>
  </si>
  <si>
    <t xml:space="preserve">310</t>
  </si>
  <si>
    <t xml:space="preserve">Macon</t>
  </si>
  <si>
    <t xml:space="preserve">311</t>
  </si>
  <si>
    <t xml:space="preserve">312</t>
  </si>
  <si>
    <t xml:space="preserve">313</t>
  </si>
  <si>
    <t xml:space="preserve">Savannah</t>
  </si>
  <si>
    <t xml:space="preserve">314</t>
  </si>
  <si>
    <t xml:space="preserve">315</t>
  </si>
  <si>
    <t xml:space="preserve">Waycross</t>
  </si>
  <si>
    <t xml:space="preserve">316</t>
  </si>
  <si>
    <t xml:space="preserve">Valdosta</t>
  </si>
  <si>
    <t xml:space="preserve">317</t>
  </si>
  <si>
    <t xml:space="preserve">318</t>
  </si>
  <si>
    <t xml:space="preserve">Columbus</t>
  </si>
  <si>
    <t xml:space="preserve">319</t>
  </si>
  <si>
    <t xml:space="preserve">320</t>
  </si>
  <si>
    <t xml:space="preserve">Jacksonville</t>
  </si>
  <si>
    <t xml:space="preserve">FL</t>
  </si>
  <si>
    <t xml:space="preserve">321</t>
  </si>
  <si>
    <t xml:space="preserve">Daytona Beach</t>
  </si>
  <si>
    <t xml:space="preserve">322</t>
  </si>
  <si>
    <t xml:space="preserve">323</t>
  </si>
  <si>
    <t xml:space="preserve">Tallahassee</t>
  </si>
  <si>
    <t xml:space="preserve">324</t>
  </si>
  <si>
    <t xml:space="preserve">Panama City</t>
  </si>
  <si>
    <t xml:space="preserve">325</t>
  </si>
  <si>
    <t xml:space="preserve">Pensacola</t>
  </si>
  <si>
    <t xml:space="preserve">326</t>
  </si>
  <si>
    <t xml:space="preserve">327</t>
  </si>
  <si>
    <t xml:space="preserve">Orlando</t>
  </si>
  <si>
    <t xml:space="preserve">328</t>
  </si>
  <si>
    <t xml:space="preserve">329</t>
  </si>
  <si>
    <t xml:space="preserve">Melbourne</t>
  </si>
  <si>
    <t xml:space="preserve">330</t>
  </si>
  <si>
    <t xml:space="preserve">Miami</t>
  </si>
  <si>
    <t xml:space="preserve">331</t>
  </si>
  <si>
    <t xml:space="preserve">332</t>
  </si>
  <si>
    <t xml:space="preserve">333</t>
  </si>
  <si>
    <t xml:space="preserve">Fort Lauderdale</t>
  </si>
  <si>
    <t xml:space="preserve">334</t>
  </si>
  <si>
    <t xml:space="preserve">West Palm Beach</t>
  </si>
  <si>
    <t xml:space="preserve">335</t>
  </si>
  <si>
    <t xml:space="preserve">Tampa</t>
  </si>
  <si>
    <t xml:space="preserve">336</t>
  </si>
  <si>
    <t xml:space="preserve">337</t>
  </si>
  <si>
    <t xml:space="preserve">St. Petersburg</t>
  </si>
  <si>
    <t xml:space="preserve">338</t>
  </si>
  <si>
    <t xml:space="preserve">Lakeland</t>
  </si>
  <si>
    <t xml:space="preserve">339</t>
  </si>
  <si>
    <t xml:space="preserve">Fort Myers</t>
  </si>
  <si>
    <t xml:space="preserve">341</t>
  </si>
  <si>
    <t xml:space="preserve">Naples</t>
  </si>
  <si>
    <t xml:space="preserve">342</t>
  </si>
  <si>
    <t xml:space="preserve">Bradenton</t>
  </si>
  <si>
    <t xml:space="preserve">344</t>
  </si>
  <si>
    <t xml:space="preserve">Ocala</t>
  </si>
  <si>
    <t xml:space="preserve">346</t>
  </si>
  <si>
    <t xml:space="preserve">Brooksville</t>
  </si>
  <si>
    <t xml:space="preserve">347</t>
  </si>
  <si>
    <t xml:space="preserve">349</t>
  </si>
  <si>
    <t xml:space="preserve">Fort Pierce</t>
  </si>
  <si>
    <t xml:space="preserve">350</t>
  </si>
  <si>
    <t xml:space="preserve">Birmingham</t>
  </si>
  <si>
    <t xml:space="preserve">AL</t>
  </si>
  <si>
    <t xml:space="preserve">351</t>
  </si>
  <si>
    <t xml:space="preserve">352</t>
  </si>
  <si>
    <t xml:space="preserve">354</t>
  </si>
  <si>
    <t xml:space="preserve">Tuscaloosa</t>
  </si>
  <si>
    <t xml:space="preserve">355</t>
  </si>
  <si>
    <t xml:space="preserve">Jasper</t>
  </si>
  <si>
    <t xml:space="preserve">356</t>
  </si>
  <si>
    <t xml:space="preserve">Decatur</t>
  </si>
  <si>
    <t xml:space="preserve">357</t>
  </si>
  <si>
    <t xml:space="preserve">Huntsville</t>
  </si>
  <si>
    <t xml:space="preserve">358</t>
  </si>
  <si>
    <t xml:space="preserve">359</t>
  </si>
  <si>
    <t xml:space="preserve">Gadsden</t>
  </si>
  <si>
    <t xml:space="preserve">360</t>
  </si>
  <si>
    <t xml:space="preserve">Montgomery</t>
  </si>
  <si>
    <t xml:space="preserve">361</t>
  </si>
  <si>
    <t xml:space="preserve">362</t>
  </si>
  <si>
    <t xml:space="preserve">Anniston</t>
  </si>
  <si>
    <t xml:space="preserve">363</t>
  </si>
  <si>
    <t xml:space="preserve">Dothan</t>
  </si>
  <si>
    <t xml:space="preserve">364</t>
  </si>
  <si>
    <t xml:space="preserve">Evergreen</t>
  </si>
  <si>
    <t xml:space="preserve">365</t>
  </si>
  <si>
    <t xml:space="preserve">Mobile</t>
  </si>
  <si>
    <t xml:space="preserve">366</t>
  </si>
  <si>
    <t xml:space="preserve">367</t>
  </si>
  <si>
    <t xml:space="preserve">Selma</t>
  </si>
  <si>
    <t xml:space="preserve">368</t>
  </si>
  <si>
    <t xml:space="preserve">Opelika</t>
  </si>
  <si>
    <t xml:space="preserve">369</t>
  </si>
  <si>
    <t xml:space="preserve">Meridian</t>
  </si>
  <si>
    <t xml:space="preserve">MS</t>
  </si>
  <si>
    <t xml:space="preserve">370</t>
  </si>
  <si>
    <t xml:space="preserve">Nashville</t>
  </si>
  <si>
    <t xml:space="preserve">371</t>
  </si>
  <si>
    <t xml:space="preserve">372</t>
  </si>
  <si>
    <t xml:space="preserve">373</t>
  </si>
  <si>
    <t xml:space="preserve">374</t>
  </si>
  <si>
    <t xml:space="preserve">375</t>
  </si>
  <si>
    <t xml:space="preserve">Memphis</t>
  </si>
  <si>
    <t xml:space="preserve">376</t>
  </si>
  <si>
    <t xml:space="preserve">Johnson City</t>
  </si>
  <si>
    <t xml:space="preserve">377</t>
  </si>
  <si>
    <t xml:space="preserve">Knoxville</t>
  </si>
  <si>
    <t xml:space="preserve">378</t>
  </si>
  <si>
    <t xml:space="preserve">379</t>
  </si>
  <si>
    <t xml:space="preserve">380</t>
  </si>
  <si>
    <t xml:space="preserve">381</t>
  </si>
  <si>
    <t xml:space="preserve">382</t>
  </si>
  <si>
    <t xml:space="preserve">McKenzie</t>
  </si>
  <si>
    <t xml:space="preserve">383</t>
  </si>
  <si>
    <t xml:space="preserve">Jackson</t>
  </si>
  <si>
    <t xml:space="preserve">384</t>
  </si>
  <si>
    <t xml:space="preserve">385</t>
  </si>
  <si>
    <t xml:space="preserve">Cookeville</t>
  </si>
  <si>
    <t xml:space="preserve">386</t>
  </si>
  <si>
    <t xml:space="preserve">387</t>
  </si>
  <si>
    <t xml:space="preserve">388</t>
  </si>
  <si>
    <t xml:space="preserve">Tupelo</t>
  </si>
  <si>
    <t xml:space="preserve">389</t>
  </si>
  <si>
    <t xml:space="preserve">Grenada</t>
  </si>
  <si>
    <t xml:space="preserve">390</t>
  </si>
  <si>
    <t xml:space="preserve">391</t>
  </si>
  <si>
    <t xml:space="preserve">392</t>
  </si>
  <si>
    <t xml:space="preserve">393</t>
  </si>
  <si>
    <t xml:space="preserve">394</t>
  </si>
  <si>
    <t xml:space="preserve">Hattiesburg</t>
  </si>
  <si>
    <t xml:space="preserve">395</t>
  </si>
  <si>
    <t xml:space="preserve">Gulfport</t>
  </si>
  <si>
    <t xml:space="preserve">396</t>
  </si>
  <si>
    <t xml:space="preserve">Brookhaven</t>
  </si>
  <si>
    <t xml:space="preserve">397</t>
  </si>
  <si>
    <t xml:space="preserve">398</t>
  </si>
  <si>
    <t xml:space="preserve">399</t>
  </si>
  <si>
    <t xml:space="preserve">400</t>
  </si>
  <si>
    <t xml:space="preserve">Louisville</t>
  </si>
  <si>
    <t xml:space="preserve">KY</t>
  </si>
  <si>
    <t xml:space="preserve">401</t>
  </si>
  <si>
    <t xml:space="preserve">402</t>
  </si>
  <si>
    <t xml:space="preserve">403</t>
  </si>
  <si>
    <t xml:space="preserve">404</t>
  </si>
  <si>
    <t xml:space="preserve">405</t>
  </si>
  <si>
    <t xml:space="preserve">406</t>
  </si>
  <si>
    <t xml:space="preserve">Frankfort</t>
  </si>
  <si>
    <t xml:space="preserve">407</t>
  </si>
  <si>
    <t xml:space="preserve">Corbin</t>
  </si>
  <si>
    <t xml:space="preserve">408</t>
  </si>
  <si>
    <t xml:space="preserve">409</t>
  </si>
  <si>
    <t xml:space="preserve">410</t>
  </si>
  <si>
    <t xml:space="preserve">Cincinnati</t>
  </si>
  <si>
    <t xml:space="preserve">OH</t>
  </si>
  <si>
    <t xml:space="preserve">411</t>
  </si>
  <si>
    <t xml:space="preserve">Ashland</t>
  </si>
  <si>
    <t xml:space="preserve">412</t>
  </si>
  <si>
    <t xml:space="preserve">413</t>
  </si>
  <si>
    <t xml:space="preserve">Campton</t>
  </si>
  <si>
    <t xml:space="preserve">414</t>
  </si>
  <si>
    <t xml:space="preserve">415</t>
  </si>
  <si>
    <t xml:space="preserve">Pikeville</t>
  </si>
  <si>
    <t xml:space="preserve">416</t>
  </si>
  <si>
    <t xml:space="preserve">417</t>
  </si>
  <si>
    <t xml:space="preserve">Hazard</t>
  </si>
  <si>
    <t xml:space="preserve">418</t>
  </si>
  <si>
    <t xml:space="preserve">420</t>
  </si>
  <si>
    <t xml:space="preserve">Paducah</t>
  </si>
  <si>
    <t xml:space="preserve">421</t>
  </si>
  <si>
    <t xml:space="preserve">Bowling Green</t>
  </si>
  <si>
    <t xml:space="preserve">422</t>
  </si>
  <si>
    <t xml:space="preserve">423</t>
  </si>
  <si>
    <t xml:space="preserve">Owensboro</t>
  </si>
  <si>
    <t xml:space="preserve">424</t>
  </si>
  <si>
    <t xml:space="preserve">Evansville</t>
  </si>
  <si>
    <t xml:space="preserve">IN</t>
  </si>
  <si>
    <t xml:space="preserve">425</t>
  </si>
  <si>
    <t xml:space="preserve">426</t>
  </si>
  <si>
    <t xml:space="preserve">427</t>
  </si>
  <si>
    <t xml:space="preserve">Elizabethtown</t>
  </si>
  <si>
    <t xml:space="preserve">430</t>
  </si>
  <si>
    <t xml:space="preserve">431</t>
  </si>
  <si>
    <t xml:space="preserve">432</t>
  </si>
  <si>
    <t xml:space="preserve">433</t>
  </si>
  <si>
    <t xml:space="preserve">Marion</t>
  </si>
  <si>
    <t xml:space="preserve">434</t>
  </si>
  <si>
    <t xml:space="preserve">Toledo</t>
  </si>
  <si>
    <t xml:space="preserve">435</t>
  </si>
  <si>
    <t xml:space="preserve">436</t>
  </si>
  <si>
    <t xml:space="preserve">437</t>
  </si>
  <si>
    <t xml:space="preserve">Zanesville</t>
  </si>
  <si>
    <t xml:space="preserve">438</t>
  </si>
  <si>
    <t xml:space="preserve">439</t>
  </si>
  <si>
    <t xml:space="preserve">Steubenville</t>
  </si>
  <si>
    <t xml:space="preserve">440</t>
  </si>
  <si>
    <t xml:space="preserve">Cleveland</t>
  </si>
  <si>
    <t xml:space="preserve">441</t>
  </si>
  <si>
    <t xml:space="preserve">442</t>
  </si>
  <si>
    <t xml:space="preserve">Akron</t>
  </si>
  <si>
    <t xml:space="preserve">443</t>
  </si>
  <si>
    <t xml:space="preserve">444</t>
  </si>
  <si>
    <t xml:space="preserve">Youngstown</t>
  </si>
  <si>
    <t xml:space="preserve">445</t>
  </si>
  <si>
    <t xml:space="preserve">446</t>
  </si>
  <si>
    <t xml:space="preserve">Canton</t>
  </si>
  <si>
    <t xml:space="preserve">447</t>
  </si>
  <si>
    <t xml:space="preserve">448</t>
  </si>
  <si>
    <t xml:space="preserve">Mansfield</t>
  </si>
  <si>
    <t xml:space="preserve">449</t>
  </si>
  <si>
    <t xml:space="preserve">450</t>
  </si>
  <si>
    <t xml:space="preserve">451</t>
  </si>
  <si>
    <t xml:space="preserve">452</t>
  </si>
  <si>
    <t xml:space="preserve">453</t>
  </si>
  <si>
    <t xml:space="preserve">Dayton</t>
  </si>
  <si>
    <t xml:space="preserve">454</t>
  </si>
  <si>
    <t xml:space="preserve">455</t>
  </si>
  <si>
    <t xml:space="preserve">456</t>
  </si>
  <si>
    <t xml:space="preserve">Chillicothe</t>
  </si>
  <si>
    <t xml:space="preserve">457</t>
  </si>
  <si>
    <t xml:space="preserve">458</t>
  </si>
  <si>
    <t xml:space="preserve">Lima</t>
  </si>
  <si>
    <t xml:space="preserve">459</t>
  </si>
  <si>
    <t xml:space="preserve">460</t>
  </si>
  <si>
    <t xml:space="preserve">Indianapolis</t>
  </si>
  <si>
    <t xml:space="preserve">461</t>
  </si>
  <si>
    <t xml:space="preserve">462</t>
  </si>
  <si>
    <t xml:space="preserve">463</t>
  </si>
  <si>
    <t xml:space="preserve">Gary</t>
  </si>
  <si>
    <t xml:space="preserve">464</t>
  </si>
  <si>
    <t xml:space="preserve">465</t>
  </si>
  <si>
    <t xml:space="preserve">South Bend</t>
  </si>
  <si>
    <t xml:space="preserve">466</t>
  </si>
  <si>
    <t xml:space="preserve">467</t>
  </si>
  <si>
    <t xml:space="preserve">Fort Wayne</t>
  </si>
  <si>
    <t xml:space="preserve">468</t>
  </si>
  <si>
    <t xml:space="preserve">469</t>
  </si>
  <si>
    <t xml:space="preserve">Kokomo</t>
  </si>
  <si>
    <t xml:space="preserve">470</t>
  </si>
  <si>
    <t xml:space="preserve">471</t>
  </si>
  <si>
    <t xml:space="preserve">472</t>
  </si>
  <si>
    <t xml:space="preserve">473</t>
  </si>
  <si>
    <t xml:space="preserve">Muncie</t>
  </si>
  <si>
    <t xml:space="preserve">474</t>
  </si>
  <si>
    <t xml:space="preserve">Bloomington</t>
  </si>
  <si>
    <t xml:space="preserve">475</t>
  </si>
  <si>
    <t xml:space="preserve">476</t>
  </si>
  <si>
    <t xml:space="preserve">477</t>
  </si>
  <si>
    <t xml:space="preserve">478</t>
  </si>
  <si>
    <t xml:space="preserve">Terre Haute</t>
  </si>
  <si>
    <t xml:space="preserve">479</t>
  </si>
  <si>
    <t xml:space="preserve">Lafayette</t>
  </si>
  <si>
    <t xml:space="preserve">480</t>
  </si>
  <si>
    <t xml:space="preserve">Detroit</t>
  </si>
  <si>
    <t xml:space="preserve">MI</t>
  </si>
  <si>
    <t xml:space="preserve">481</t>
  </si>
  <si>
    <t xml:space="preserve">482</t>
  </si>
  <si>
    <t xml:space="preserve">483</t>
  </si>
  <si>
    <t xml:space="preserve">484</t>
  </si>
  <si>
    <t xml:space="preserve">Flint</t>
  </si>
  <si>
    <t xml:space="preserve">485</t>
  </si>
  <si>
    <t xml:space="preserve">486</t>
  </si>
  <si>
    <t xml:space="preserve">Saginaw</t>
  </si>
  <si>
    <t xml:space="preserve">487</t>
  </si>
  <si>
    <t xml:space="preserve">488</t>
  </si>
  <si>
    <t xml:space="preserve">Lansing</t>
  </si>
  <si>
    <t xml:space="preserve">489</t>
  </si>
  <si>
    <t xml:space="preserve">490</t>
  </si>
  <si>
    <t xml:space="preserve">Kalamazoo</t>
  </si>
  <si>
    <t xml:space="preserve">491</t>
  </si>
  <si>
    <t xml:space="preserve">492</t>
  </si>
  <si>
    <t xml:space="preserve">493</t>
  </si>
  <si>
    <t xml:space="preserve">Grand Rapids</t>
  </si>
  <si>
    <t xml:space="preserve">494</t>
  </si>
  <si>
    <t xml:space="preserve">495</t>
  </si>
  <si>
    <t xml:space="preserve">496</t>
  </si>
  <si>
    <t xml:space="preserve">Cadillac</t>
  </si>
  <si>
    <t xml:space="preserve">497</t>
  </si>
  <si>
    <t xml:space="preserve">Mackinaw City</t>
  </si>
  <si>
    <t xml:space="preserve">498</t>
  </si>
  <si>
    <t xml:space="preserve">Iron Mountain</t>
  </si>
  <si>
    <t xml:space="preserve">499</t>
  </si>
  <si>
    <t xml:space="preserve">500</t>
  </si>
  <si>
    <t xml:space="preserve">Des Moines</t>
  </si>
  <si>
    <t xml:space="preserve">IA</t>
  </si>
  <si>
    <t xml:space="preserve">501</t>
  </si>
  <si>
    <t xml:space="preserve">502</t>
  </si>
  <si>
    <t xml:space="preserve">503</t>
  </si>
  <si>
    <t xml:space="preserve">504</t>
  </si>
  <si>
    <t xml:space="preserve">Mason City</t>
  </si>
  <si>
    <t xml:space="preserve">505</t>
  </si>
  <si>
    <t xml:space="preserve">Fort Dodge</t>
  </si>
  <si>
    <t xml:space="preserve">506</t>
  </si>
  <si>
    <t xml:space="preserve">Waterloo</t>
  </si>
  <si>
    <t xml:space="preserve">507</t>
  </si>
  <si>
    <t xml:space="preserve">508</t>
  </si>
  <si>
    <t xml:space="preserve">Creston</t>
  </si>
  <si>
    <t xml:space="preserve">509</t>
  </si>
  <si>
    <t xml:space="preserve">510</t>
  </si>
  <si>
    <t xml:space="preserve">Sioux City</t>
  </si>
  <si>
    <t xml:space="preserve">511</t>
  </si>
  <si>
    <t xml:space="preserve">512</t>
  </si>
  <si>
    <t xml:space="preserve">Sheldon</t>
  </si>
  <si>
    <t xml:space="preserve">513</t>
  </si>
  <si>
    <t xml:space="preserve">Spencer</t>
  </si>
  <si>
    <t xml:space="preserve">514</t>
  </si>
  <si>
    <t xml:space="preserve">Carroll</t>
  </si>
  <si>
    <t xml:space="preserve">515</t>
  </si>
  <si>
    <t xml:space="preserve">Council Bluffs</t>
  </si>
  <si>
    <t xml:space="preserve">516</t>
  </si>
  <si>
    <t xml:space="preserve">Shenandoah</t>
  </si>
  <si>
    <t xml:space="preserve">520</t>
  </si>
  <si>
    <t xml:space="preserve">Dubuque</t>
  </si>
  <si>
    <t xml:space="preserve">521</t>
  </si>
  <si>
    <t xml:space="preserve">Decorah</t>
  </si>
  <si>
    <t xml:space="preserve">522</t>
  </si>
  <si>
    <t xml:space="preserve">Cedar Rapids</t>
  </si>
  <si>
    <t xml:space="preserve">523</t>
  </si>
  <si>
    <t xml:space="preserve">524</t>
  </si>
  <si>
    <t xml:space="preserve">525</t>
  </si>
  <si>
    <t xml:space="preserve">Ottumwa</t>
  </si>
  <si>
    <t xml:space="preserve">526</t>
  </si>
  <si>
    <t xml:space="preserve">527</t>
  </si>
  <si>
    <t xml:space="preserve">Davenport</t>
  </si>
  <si>
    <t xml:space="preserve">528</t>
  </si>
  <si>
    <t xml:space="preserve">530</t>
  </si>
  <si>
    <t xml:space="preserve">Milwaukee</t>
  </si>
  <si>
    <t xml:space="preserve">WI</t>
  </si>
  <si>
    <t xml:space="preserve">531</t>
  </si>
  <si>
    <t xml:space="preserve">532</t>
  </si>
  <si>
    <t xml:space="preserve">534</t>
  </si>
  <si>
    <t xml:space="preserve">Racine</t>
  </si>
  <si>
    <t xml:space="preserve">535</t>
  </si>
  <si>
    <t xml:space="preserve">Madison</t>
  </si>
  <si>
    <t xml:space="preserve">537</t>
  </si>
  <si>
    <t xml:space="preserve">538</t>
  </si>
  <si>
    <t xml:space="preserve">539</t>
  </si>
  <si>
    <t xml:space="preserve">Portage</t>
  </si>
  <si>
    <t xml:space="preserve">540</t>
  </si>
  <si>
    <t xml:space="preserve">St. Paul</t>
  </si>
  <si>
    <t xml:space="preserve">MN</t>
  </si>
  <si>
    <t xml:space="preserve">541</t>
  </si>
  <si>
    <t xml:space="preserve">Green Bay</t>
  </si>
  <si>
    <t xml:space="preserve">542</t>
  </si>
  <si>
    <t xml:space="preserve">543</t>
  </si>
  <si>
    <t xml:space="preserve">544</t>
  </si>
  <si>
    <t xml:space="preserve">Wausau</t>
  </si>
  <si>
    <t xml:space="preserve">545</t>
  </si>
  <si>
    <t xml:space="preserve">Rhinelander</t>
  </si>
  <si>
    <t xml:space="preserve">546</t>
  </si>
  <si>
    <t xml:space="preserve">La Crosse</t>
  </si>
  <si>
    <t xml:space="preserve">547</t>
  </si>
  <si>
    <t xml:space="preserve">Eau Claire</t>
  </si>
  <si>
    <t xml:space="preserve">548</t>
  </si>
  <si>
    <t xml:space="preserve">Spooner</t>
  </si>
  <si>
    <t xml:space="preserve">549</t>
  </si>
  <si>
    <t xml:space="preserve">Oshkosh</t>
  </si>
  <si>
    <t xml:space="preserve">550</t>
  </si>
  <si>
    <t xml:space="preserve">551</t>
  </si>
  <si>
    <t xml:space="preserve">553</t>
  </si>
  <si>
    <t xml:space="preserve">Minneapolis</t>
  </si>
  <si>
    <t xml:space="preserve">554</t>
  </si>
  <si>
    <t xml:space="preserve">555</t>
  </si>
  <si>
    <t xml:space="preserve">556</t>
  </si>
  <si>
    <t xml:space="preserve">Duluth</t>
  </si>
  <si>
    <t xml:space="preserve">557</t>
  </si>
  <si>
    <t xml:space="preserve">558</t>
  </si>
  <si>
    <t xml:space="preserve">559</t>
  </si>
  <si>
    <t xml:space="preserve">560</t>
  </si>
  <si>
    <t xml:space="preserve">Mankato</t>
  </si>
  <si>
    <t xml:space="preserve">561</t>
  </si>
  <si>
    <t xml:space="preserve">Windom</t>
  </si>
  <si>
    <t xml:space="preserve">562</t>
  </si>
  <si>
    <t xml:space="preserve">Willmar</t>
  </si>
  <si>
    <t xml:space="preserve">563</t>
  </si>
  <si>
    <t xml:space="preserve">St. Cloud</t>
  </si>
  <si>
    <t xml:space="preserve">564</t>
  </si>
  <si>
    <t xml:space="preserve">Brainerd</t>
  </si>
  <si>
    <t xml:space="preserve">565</t>
  </si>
  <si>
    <t xml:space="preserve">Detroit Lakes</t>
  </si>
  <si>
    <t xml:space="preserve">566</t>
  </si>
  <si>
    <t xml:space="preserve">Bemidji</t>
  </si>
  <si>
    <t xml:space="preserve">567</t>
  </si>
  <si>
    <t xml:space="preserve">Thief River Falls</t>
  </si>
  <si>
    <t xml:space="preserve">569</t>
  </si>
  <si>
    <t xml:space="preserve">570</t>
  </si>
  <si>
    <t xml:space="preserve">Sioux Falls</t>
  </si>
  <si>
    <t xml:space="preserve">SD</t>
  </si>
  <si>
    <t xml:space="preserve">571</t>
  </si>
  <si>
    <t xml:space="preserve">572</t>
  </si>
  <si>
    <t xml:space="preserve">573</t>
  </si>
  <si>
    <t xml:space="preserve">Mitchell</t>
  </si>
  <si>
    <t xml:space="preserve">574</t>
  </si>
  <si>
    <t xml:space="preserve">Aberdeen</t>
  </si>
  <si>
    <t xml:space="preserve">575</t>
  </si>
  <si>
    <t xml:space="preserve">Pierre</t>
  </si>
  <si>
    <t xml:space="preserve">576</t>
  </si>
  <si>
    <t xml:space="preserve">Mobridge</t>
  </si>
  <si>
    <t xml:space="preserve">577</t>
  </si>
  <si>
    <t xml:space="preserve">Rapid City</t>
  </si>
  <si>
    <t xml:space="preserve">580</t>
  </si>
  <si>
    <t xml:space="preserve">Fargo</t>
  </si>
  <si>
    <t xml:space="preserve">ND</t>
  </si>
  <si>
    <t xml:space="preserve">581</t>
  </si>
  <si>
    <t xml:space="preserve">582</t>
  </si>
  <si>
    <t xml:space="preserve">Grand Forks</t>
  </si>
  <si>
    <t xml:space="preserve">583</t>
  </si>
  <si>
    <t xml:space="preserve">Devils Lake</t>
  </si>
  <si>
    <t xml:space="preserve">584</t>
  </si>
  <si>
    <t xml:space="preserve">585</t>
  </si>
  <si>
    <t xml:space="preserve">Bismarck</t>
  </si>
  <si>
    <t xml:space="preserve">586</t>
  </si>
  <si>
    <t xml:space="preserve">Dickinson</t>
  </si>
  <si>
    <t xml:space="preserve">587</t>
  </si>
  <si>
    <t xml:space="preserve">Minot</t>
  </si>
  <si>
    <t xml:space="preserve">588</t>
  </si>
  <si>
    <t xml:space="preserve">Williston</t>
  </si>
  <si>
    <t xml:space="preserve">590</t>
  </si>
  <si>
    <t xml:space="preserve">Billings</t>
  </si>
  <si>
    <t xml:space="preserve">MT</t>
  </si>
  <si>
    <t xml:space="preserve">591</t>
  </si>
  <si>
    <t xml:space="preserve">592</t>
  </si>
  <si>
    <t xml:space="preserve">Wolf Point</t>
  </si>
  <si>
    <t xml:space="preserve">593</t>
  </si>
  <si>
    <t xml:space="preserve">Miles City</t>
  </si>
  <si>
    <t xml:space="preserve">594</t>
  </si>
  <si>
    <t xml:space="preserve">Great Falls</t>
  </si>
  <si>
    <t xml:space="preserve">595</t>
  </si>
  <si>
    <t xml:space="preserve">Havre</t>
  </si>
  <si>
    <t xml:space="preserve">596</t>
  </si>
  <si>
    <t xml:space="preserve">Helena</t>
  </si>
  <si>
    <t xml:space="preserve">597</t>
  </si>
  <si>
    <t xml:space="preserve">Butte</t>
  </si>
  <si>
    <t xml:space="preserve">598</t>
  </si>
  <si>
    <t xml:space="preserve">Missoula</t>
  </si>
  <si>
    <t xml:space="preserve">599</t>
  </si>
  <si>
    <t xml:space="preserve">Kalispell</t>
  </si>
  <si>
    <t xml:space="preserve">600</t>
  </si>
  <si>
    <t xml:space="preserve">Chicago</t>
  </si>
  <si>
    <t xml:space="preserve">IL</t>
  </si>
  <si>
    <t xml:space="preserve">601</t>
  </si>
  <si>
    <t xml:space="preserve">602</t>
  </si>
  <si>
    <t xml:space="preserve">Evanston</t>
  </si>
  <si>
    <t xml:space="preserve">603</t>
  </si>
  <si>
    <t xml:space="preserve">Oak Park</t>
  </si>
  <si>
    <t xml:space="preserve">604</t>
  </si>
  <si>
    <t xml:space="preserve">605</t>
  </si>
  <si>
    <t xml:space="preserve">606</t>
  </si>
  <si>
    <t xml:space="preserve">607</t>
  </si>
  <si>
    <t xml:space="preserve">608</t>
  </si>
  <si>
    <t xml:space="preserve">609</t>
  </si>
  <si>
    <t xml:space="preserve">Kankakee</t>
  </si>
  <si>
    <t xml:space="preserve">610</t>
  </si>
  <si>
    <t xml:space="preserve">Rockford</t>
  </si>
  <si>
    <t xml:space="preserve">611</t>
  </si>
  <si>
    <t xml:space="preserve">612</t>
  </si>
  <si>
    <t xml:space="preserve">Rock Island</t>
  </si>
  <si>
    <t xml:space="preserve">613</t>
  </si>
  <si>
    <t xml:space="preserve">LaSalle</t>
  </si>
  <si>
    <t xml:space="preserve">614</t>
  </si>
  <si>
    <t xml:space="preserve">Galesburg</t>
  </si>
  <si>
    <t xml:space="preserve">615</t>
  </si>
  <si>
    <t xml:space="preserve">Peoria</t>
  </si>
  <si>
    <t xml:space="preserve">616</t>
  </si>
  <si>
    <t xml:space="preserve">617</t>
  </si>
  <si>
    <t xml:space="preserve">618</t>
  </si>
  <si>
    <t xml:space="preserve">Urbana</t>
  </si>
  <si>
    <t xml:space="preserve">619</t>
  </si>
  <si>
    <t xml:space="preserve">620</t>
  </si>
  <si>
    <t xml:space="preserve">St. Louis</t>
  </si>
  <si>
    <t xml:space="preserve">MO</t>
  </si>
  <si>
    <t xml:space="preserve">622</t>
  </si>
  <si>
    <t xml:space="preserve">East St. Louis</t>
  </si>
  <si>
    <t xml:space="preserve">623</t>
  </si>
  <si>
    <t xml:space="preserve">Quincy</t>
  </si>
  <si>
    <t xml:space="preserve">624</t>
  </si>
  <si>
    <t xml:space="preserve">Effingham</t>
  </si>
  <si>
    <t xml:space="preserve">625</t>
  </si>
  <si>
    <t xml:space="preserve">626</t>
  </si>
  <si>
    <t xml:space="preserve">627</t>
  </si>
  <si>
    <t xml:space="preserve">628</t>
  </si>
  <si>
    <t xml:space="preserve">Centralia</t>
  </si>
  <si>
    <t xml:space="preserve">629</t>
  </si>
  <si>
    <t xml:space="preserve">Carbondale</t>
  </si>
  <si>
    <t xml:space="preserve">630</t>
  </si>
  <si>
    <t xml:space="preserve">631</t>
  </si>
  <si>
    <t xml:space="preserve">633</t>
  </si>
  <si>
    <t xml:space="preserve">St. Charles</t>
  </si>
  <si>
    <t xml:space="preserve">634</t>
  </si>
  <si>
    <t xml:space="preserve">Hannibal</t>
  </si>
  <si>
    <t xml:space="preserve">635</t>
  </si>
  <si>
    <t xml:space="preserve">Kirksville</t>
  </si>
  <si>
    <t xml:space="preserve">636</t>
  </si>
  <si>
    <t xml:space="preserve">Park Hills</t>
  </si>
  <si>
    <t xml:space="preserve">637</t>
  </si>
  <si>
    <t xml:space="preserve">Cape Girardeau</t>
  </si>
  <si>
    <t xml:space="preserve">638</t>
  </si>
  <si>
    <t xml:space="preserve">Sikeston</t>
  </si>
  <si>
    <t xml:space="preserve">639</t>
  </si>
  <si>
    <t xml:space="preserve">Poplar Bluff</t>
  </si>
  <si>
    <t xml:space="preserve">640</t>
  </si>
  <si>
    <t xml:space="preserve">Kansas City</t>
  </si>
  <si>
    <t xml:space="preserve">641</t>
  </si>
  <si>
    <t xml:space="preserve">644</t>
  </si>
  <si>
    <t xml:space="preserve">St. Joseph</t>
  </si>
  <si>
    <t xml:space="preserve">645</t>
  </si>
  <si>
    <t xml:space="preserve">646</t>
  </si>
  <si>
    <t xml:space="preserve">647</t>
  </si>
  <si>
    <t xml:space="preserve">Harrisonville</t>
  </si>
  <si>
    <t xml:space="preserve">648</t>
  </si>
  <si>
    <t xml:space="preserve">Joplin</t>
  </si>
  <si>
    <t xml:space="preserve">649</t>
  </si>
  <si>
    <t xml:space="preserve">650</t>
  </si>
  <si>
    <t xml:space="preserve">Jefferson City</t>
  </si>
  <si>
    <t xml:space="preserve">651</t>
  </si>
  <si>
    <t xml:space="preserve">652</t>
  </si>
  <si>
    <t xml:space="preserve">653</t>
  </si>
  <si>
    <t xml:space="preserve">Sedalia</t>
  </si>
  <si>
    <t xml:space="preserve">654</t>
  </si>
  <si>
    <t xml:space="preserve">Rolla</t>
  </si>
  <si>
    <t xml:space="preserve">655</t>
  </si>
  <si>
    <t xml:space="preserve">656</t>
  </si>
  <si>
    <t xml:space="preserve">657</t>
  </si>
  <si>
    <t xml:space="preserve">658</t>
  </si>
  <si>
    <t xml:space="preserve">660</t>
  </si>
  <si>
    <t xml:space="preserve">KS</t>
  </si>
  <si>
    <t xml:space="preserve">661</t>
  </si>
  <si>
    <t xml:space="preserve">662</t>
  </si>
  <si>
    <t xml:space="preserve">Overland Park</t>
  </si>
  <si>
    <t xml:space="preserve">664</t>
  </si>
  <si>
    <t xml:space="preserve">Topeka</t>
  </si>
  <si>
    <t xml:space="preserve">665</t>
  </si>
  <si>
    <t xml:space="preserve">666</t>
  </si>
  <si>
    <t xml:space="preserve">667</t>
  </si>
  <si>
    <t xml:space="preserve">Fort Scott</t>
  </si>
  <si>
    <t xml:space="preserve">668</t>
  </si>
  <si>
    <t xml:space="preserve">Emporia</t>
  </si>
  <si>
    <t xml:space="preserve">669</t>
  </si>
  <si>
    <t xml:space="preserve">Concordia</t>
  </si>
  <si>
    <t xml:space="preserve">670</t>
  </si>
  <si>
    <t xml:space="preserve">Wichita</t>
  </si>
  <si>
    <t xml:space="preserve">671</t>
  </si>
  <si>
    <t xml:space="preserve">672</t>
  </si>
  <si>
    <t xml:space="preserve">673</t>
  </si>
  <si>
    <t xml:space="preserve">Independence</t>
  </si>
  <si>
    <t xml:space="preserve">674</t>
  </si>
  <si>
    <t xml:space="preserve">Salina</t>
  </si>
  <si>
    <t xml:space="preserve">675</t>
  </si>
  <si>
    <t xml:space="preserve">Hutchinson</t>
  </si>
  <si>
    <t xml:space="preserve">676</t>
  </si>
  <si>
    <t xml:space="preserve">Hays</t>
  </si>
  <si>
    <t xml:space="preserve">677</t>
  </si>
  <si>
    <t xml:space="preserve">Colby</t>
  </si>
  <si>
    <t xml:space="preserve">678</t>
  </si>
  <si>
    <t xml:space="preserve">Dodge City</t>
  </si>
  <si>
    <t xml:space="preserve">679</t>
  </si>
  <si>
    <t xml:space="preserve">Liberal</t>
  </si>
  <si>
    <t xml:space="preserve">680</t>
  </si>
  <si>
    <t xml:space="preserve">Omaha</t>
  </si>
  <si>
    <t xml:space="preserve">NE</t>
  </si>
  <si>
    <t xml:space="preserve">681</t>
  </si>
  <si>
    <t xml:space="preserve">683</t>
  </si>
  <si>
    <t xml:space="preserve">684</t>
  </si>
  <si>
    <t xml:space="preserve">685</t>
  </si>
  <si>
    <t xml:space="preserve">Lincoln</t>
  </si>
  <si>
    <t xml:space="preserve">686</t>
  </si>
  <si>
    <t xml:space="preserve">687</t>
  </si>
  <si>
    <t xml:space="preserve">688</t>
  </si>
  <si>
    <t xml:space="preserve">Grand Island</t>
  </si>
  <si>
    <t xml:space="preserve">689</t>
  </si>
  <si>
    <t xml:space="preserve">Hastings</t>
  </si>
  <si>
    <t xml:space="preserve">690</t>
  </si>
  <si>
    <t xml:space="preserve">McCook</t>
  </si>
  <si>
    <t xml:space="preserve">691</t>
  </si>
  <si>
    <t xml:space="preserve">North Platte</t>
  </si>
  <si>
    <t xml:space="preserve">692</t>
  </si>
  <si>
    <t xml:space="preserve">Valentine</t>
  </si>
  <si>
    <t xml:space="preserve">693</t>
  </si>
  <si>
    <t xml:space="preserve">Alliance</t>
  </si>
  <si>
    <t xml:space="preserve">700</t>
  </si>
  <si>
    <t xml:space="preserve">Metairie</t>
  </si>
  <si>
    <t xml:space="preserve">LA</t>
  </si>
  <si>
    <t xml:space="preserve">701</t>
  </si>
  <si>
    <t xml:space="preserve">New Orleans</t>
  </si>
  <si>
    <t xml:space="preserve">703</t>
  </si>
  <si>
    <t xml:space="preserve">Thibodaux</t>
  </si>
  <si>
    <t xml:space="preserve">704</t>
  </si>
  <si>
    <t xml:space="preserve">Hammond</t>
  </si>
  <si>
    <t xml:space="preserve">705</t>
  </si>
  <si>
    <t xml:space="preserve">706</t>
  </si>
  <si>
    <t xml:space="preserve">Lake Charles</t>
  </si>
  <si>
    <t xml:space="preserve">707</t>
  </si>
  <si>
    <t xml:space="preserve">Baton Rouge</t>
  </si>
  <si>
    <t xml:space="preserve">708</t>
  </si>
  <si>
    <t xml:space="preserve">710</t>
  </si>
  <si>
    <t xml:space="preserve">Shreveport</t>
  </si>
  <si>
    <t xml:space="preserve">711</t>
  </si>
  <si>
    <t xml:space="preserve">712</t>
  </si>
  <si>
    <t xml:space="preserve">Monroe</t>
  </si>
  <si>
    <t xml:space="preserve">713</t>
  </si>
  <si>
    <t xml:space="preserve">714</t>
  </si>
  <si>
    <t xml:space="preserve">716</t>
  </si>
  <si>
    <t xml:space="preserve">Pine Bluff</t>
  </si>
  <si>
    <t xml:space="preserve">AR</t>
  </si>
  <si>
    <t xml:space="preserve">717</t>
  </si>
  <si>
    <t xml:space="preserve">718</t>
  </si>
  <si>
    <t xml:space="preserve">Texarkana</t>
  </si>
  <si>
    <t xml:space="preserve">719</t>
  </si>
  <si>
    <t xml:space="preserve">Hot Springs</t>
  </si>
  <si>
    <t xml:space="preserve">720</t>
  </si>
  <si>
    <t xml:space="preserve">Little Rock</t>
  </si>
  <si>
    <t xml:space="preserve">721</t>
  </si>
  <si>
    <t xml:space="preserve">722</t>
  </si>
  <si>
    <t xml:space="preserve">723</t>
  </si>
  <si>
    <t xml:space="preserve">West Memphis</t>
  </si>
  <si>
    <t xml:space="preserve">724</t>
  </si>
  <si>
    <t xml:space="preserve">Jonesboro</t>
  </si>
  <si>
    <t xml:space="preserve">725</t>
  </si>
  <si>
    <t xml:space="preserve">Batesville</t>
  </si>
  <si>
    <t xml:space="preserve">726</t>
  </si>
  <si>
    <t xml:space="preserve">Harrison</t>
  </si>
  <si>
    <t xml:space="preserve">727</t>
  </si>
  <si>
    <t xml:space="preserve">728</t>
  </si>
  <si>
    <t xml:space="preserve">Russellville</t>
  </si>
  <si>
    <t xml:space="preserve">729</t>
  </si>
  <si>
    <t xml:space="preserve">Fort Smith</t>
  </si>
  <si>
    <t xml:space="preserve">730</t>
  </si>
  <si>
    <t xml:space="preserve">Oklahoma City</t>
  </si>
  <si>
    <t xml:space="preserve">OK</t>
  </si>
  <si>
    <t xml:space="preserve">731</t>
  </si>
  <si>
    <t xml:space="preserve">733</t>
  </si>
  <si>
    <t xml:space="preserve">Austin</t>
  </si>
  <si>
    <t xml:space="preserve">TX</t>
  </si>
  <si>
    <t xml:space="preserve">734</t>
  </si>
  <si>
    <t xml:space="preserve">Ardmore</t>
  </si>
  <si>
    <t xml:space="preserve">735</t>
  </si>
  <si>
    <t xml:space="preserve">Lawton</t>
  </si>
  <si>
    <t xml:space="preserve">736</t>
  </si>
  <si>
    <t xml:space="preserve">Clinton</t>
  </si>
  <si>
    <t xml:space="preserve">737</t>
  </si>
  <si>
    <t xml:space="preserve">Enid</t>
  </si>
  <si>
    <t xml:space="preserve">738</t>
  </si>
  <si>
    <t xml:space="preserve">Woodward</t>
  </si>
  <si>
    <t xml:space="preserve">739</t>
  </si>
  <si>
    <t xml:space="preserve">740</t>
  </si>
  <si>
    <t xml:space="preserve">Tulsa</t>
  </si>
  <si>
    <t xml:space="preserve">741</t>
  </si>
  <si>
    <t xml:space="preserve">743</t>
  </si>
  <si>
    <t xml:space="preserve">Vinita</t>
  </si>
  <si>
    <t xml:space="preserve">744</t>
  </si>
  <si>
    <t xml:space="preserve">Muskogee</t>
  </si>
  <si>
    <t xml:space="preserve">745</t>
  </si>
  <si>
    <t xml:space="preserve">McAlester</t>
  </si>
  <si>
    <t xml:space="preserve">746</t>
  </si>
  <si>
    <t xml:space="preserve">Ponca City</t>
  </si>
  <si>
    <t xml:space="preserve">747</t>
  </si>
  <si>
    <t xml:space="preserve">Durant</t>
  </si>
  <si>
    <t xml:space="preserve">748</t>
  </si>
  <si>
    <t xml:space="preserve">Shawnee</t>
  </si>
  <si>
    <t xml:space="preserve">749</t>
  </si>
  <si>
    <t xml:space="preserve">750</t>
  </si>
  <si>
    <t xml:space="preserve">Dallas</t>
  </si>
  <si>
    <t xml:space="preserve">751</t>
  </si>
  <si>
    <t xml:space="preserve">752</t>
  </si>
  <si>
    <t xml:space="preserve">753</t>
  </si>
  <si>
    <t xml:space="preserve">754</t>
  </si>
  <si>
    <t xml:space="preserve">755</t>
  </si>
  <si>
    <t xml:space="preserve">756</t>
  </si>
  <si>
    <t xml:space="preserve">Longview</t>
  </si>
  <si>
    <t xml:space="preserve">757</t>
  </si>
  <si>
    <t xml:space="preserve">Tyler</t>
  </si>
  <si>
    <t xml:space="preserve">758</t>
  </si>
  <si>
    <t xml:space="preserve">Palestine</t>
  </si>
  <si>
    <t xml:space="preserve">759</t>
  </si>
  <si>
    <t xml:space="preserve">Lufkin</t>
  </si>
  <si>
    <t xml:space="preserve">760</t>
  </si>
  <si>
    <t xml:space="preserve">Fort Worth</t>
  </si>
  <si>
    <t xml:space="preserve">761</t>
  </si>
  <si>
    <t xml:space="preserve">762</t>
  </si>
  <si>
    <t xml:space="preserve">Denton</t>
  </si>
  <si>
    <t xml:space="preserve">763</t>
  </si>
  <si>
    <t xml:space="preserve">Wichita Falls</t>
  </si>
  <si>
    <t xml:space="preserve">764</t>
  </si>
  <si>
    <t xml:space="preserve">Stephenville</t>
  </si>
  <si>
    <t xml:space="preserve">765</t>
  </si>
  <si>
    <t xml:space="preserve">Temple</t>
  </si>
  <si>
    <t xml:space="preserve">766</t>
  </si>
  <si>
    <t xml:space="preserve">Waco</t>
  </si>
  <si>
    <t xml:space="preserve">767</t>
  </si>
  <si>
    <t xml:space="preserve">768</t>
  </si>
  <si>
    <t xml:space="preserve">Brownwood</t>
  </si>
  <si>
    <t xml:space="preserve">769</t>
  </si>
  <si>
    <t xml:space="preserve">San Angelo</t>
  </si>
  <si>
    <t xml:space="preserve">770</t>
  </si>
  <si>
    <t xml:space="preserve">Houston</t>
  </si>
  <si>
    <t xml:space="preserve">771</t>
  </si>
  <si>
    <t xml:space="preserve">772</t>
  </si>
  <si>
    <t xml:space="preserve">773</t>
  </si>
  <si>
    <t xml:space="preserve">Conroe</t>
  </si>
  <si>
    <t xml:space="preserve">774</t>
  </si>
  <si>
    <t xml:space="preserve">775</t>
  </si>
  <si>
    <t xml:space="preserve">Pasadena</t>
  </si>
  <si>
    <t xml:space="preserve">776</t>
  </si>
  <si>
    <t xml:space="preserve">Beaumont</t>
  </si>
  <si>
    <t xml:space="preserve">777</t>
  </si>
  <si>
    <t xml:space="preserve">778</t>
  </si>
  <si>
    <t xml:space="preserve">Bryan</t>
  </si>
  <si>
    <t xml:space="preserve">779</t>
  </si>
  <si>
    <t xml:space="preserve">Victoria</t>
  </si>
  <si>
    <t xml:space="preserve">780</t>
  </si>
  <si>
    <t xml:space="preserve">San Antonio</t>
  </si>
  <si>
    <t xml:space="preserve">781</t>
  </si>
  <si>
    <t xml:space="preserve">782</t>
  </si>
  <si>
    <t xml:space="preserve">783</t>
  </si>
  <si>
    <t xml:space="preserve">Corpus Christi</t>
  </si>
  <si>
    <t xml:space="preserve">784</t>
  </si>
  <si>
    <t xml:space="preserve">785</t>
  </si>
  <si>
    <t xml:space="preserve">McAllen</t>
  </si>
  <si>
    <t xml:space="preserve">786</t>
  </si>
  <si>
    <t xml:space="preserve">787</t>
  </si>
  <si>
    <t xml:space="preserve">788</t>
  </si>
  <si>
    <t xml:space="preserve">Uvalde</t>
  </si>
  <si>
    <t xml:space="preserve">789</t>
  </si>
  <si>
    <t xml:space="preserve">La Grange</t>
  </si>
  <si>
    <t xml:space="preserve">790</t>
  </si>
  <si>
    <t xml:space="preserve">Amarillo</t>
  </si>
  <si>
    <t xml:space="preserve">791</t>
  </si>
  <si>
    <t xml:space="preserve">792</t>
  </si>
  <si>
    <t xml:space="preserve">Childress</t>
  </si>
  <si>
    <t xml:space="preserve">793</t>
  </si>
  <si>
    <t xml:space="preserve">Lubbock</t>
  </si>
  <si>
    <t xml:space="preserve">794</t>
  </si>
  <si>
    <t xml:space="preserve">795</t>
  </si>
  <si>
    <t xml:space="preserve">Abilene</t>
  </si>
  <si>
    <t xml:space="preserve">796</t>
  </si>
  <si>
    <t xml:space="preserve">797</t>
  </si>
  <si>
    <t xml:space="preserve">Midland</t>
  </si>
  <si>
    <t xml:space="preserve">798</t>
  </si>
  <si>
    <t xml:space="preserve">El Paso</t>
  </si>
  <si>
    <t xml:space="preserve">799</t>
  </si>
  <si>
    <t xml:space="preserve">800</t>
  </si>
  <si>
    <t xml:space="preserve">Denver</t>
  </si>
  <si>
    <t xml:space="preserve">CO</t>
  </si>
  <si>
    <t xml:space="preserve">801</t>
  </si>
  <si>
    <t xml:space="preserve">802</t>
  </si>
  <si>
    <t xml:space="preserve">803</t>
  </si>
  <si>
    <t xml:space="preserve">Boulder</t>
  </si>
  <si>
    <t xml:space="preserve">804</t>
  </si>
  <si>
    <t xml:space="preserve">Golden</t>
  </si>
  <si>
    <t xml:space="preserve">805</t>
  </si>
  <si>
    <t xml:space="preserve">Longmont</t>
  </si>
  <si>
    <t xml:space="preserve">806</t>
  </si>
  <si>
    <t xml:space="preserve">Brighton</t>
  </si>
  <si>
    <t xml:space="preserve">807</t>
  </si>
  <si>
    <t xml:space="preserve">Fort Morgan</t>
  </si>
  <si>
    <t xml:space="preserve">808</t>
  </si>
  <si>
    <t xml:space="preserve">Colorado Springs</t>
  </si>
  <si>
    <t xml:space="preserve">809</t>
  </si>
  <si>
    <t xml:space="preserve">810</t>
  </si>
  <si>
    <t xml:space="preserve">Pueblo</t>
  </si>
  <si>
    <t xml:space="preserve">811</t>
  </si>
  <si>
    <t xml:space="preserve">Alamosa</t>
  </si>
  <si>
    <t xml:space="preserve">812</t>
  </si>
  <si>
    <t xml:space="preserve">Salida</t>
  </si>
  <si>
    <t xml:space="preserve">813</t>
  </si>
  <si>
    <t xml:space="preserve">Durango</t>
  </si>
  <si>
    <t xml:space="preserve">814</t>
  </si>
  <si>
    <t xml:space="preserve">815</t>
  </si>
  <si>
    <t xml:space="preserve">Grand Junction</t>
  </si>
  <si>
    <t xml:space="preserve">816</t>
  </si>
  <si>
    <t xml:space="preserve">Glenwood Springs</t>
  </si>
  <si>
    <t xml:space="preserve">820</t>
  </si>
  <si>
    <t xml:space="preserve">Cheyenne</t>
  </si>
  <si>
    <t xml:space="preserve">WY</t>
  </si>
  <si>
    <t xml:space="preserve">821</t>
  </si>
  <si>
    <t xml:space="preserve">Yellowstone</t>
  </si>
  <si>
    <t xml:space="preserve">822</t>
  </si>
  <si>
    <t xml:space="preserve">Wheatland</t>
  </si>
  <si>
    <t xml:space="preserve">823</t>
  </si>
  <si>
    <t xml:space="preserve">Rawlins</t>
  </si>
  <si>
    <t xml:space="preserve">824</t>
  </si>
  <si>
    <t xml:space="preserve">Worland</t>
  </si>
  <si>
    <t xml:space="preserve">825</t>
  </si>
  <si>
    <t xml:space="preserve">Riverton</t>
  </si>
  <si>
    <t xml:space="preserve">826</t>
  </si>
  <si>
    <t xml:space="preserve">Casper</t>
  </si>
  <si>
    <t xml:space="preserve">827</t>
  </si>
  <si>
    <t xml:space="preserve">Newcastle</t>
  </si>
  <si>
    <t xml:space="preserve">828</t>
  </si>
  <si>
    <t xml:space="preserve">Sheridan</t>
  </si>
  <si>
    <t xml:space="preserve">829</t>
  </si>
  <si>
    <t xml:space="preserve">Rock Springs</t>
  </si>
  <si>
    <t xml:space="preserve">830</t>
  </si>
  <si>
    <t xml:space="preserve">831</t>
  </si>
  <si>
    <t xml:space="preserve">Kemmerer</t>
  </si>
  <si>
    <t xml:space="preserve">832</t>
  </si>
  <si>
    <t xml:space="preserve">Pocatello</t>
  </si>
  <si>
    <t xml:space="preserve">ID</t>
  </si>
  <si>
    <t xml:space="preserve">833</t>
  </si>
  <si>
    <t xml:space="preserve">Twin Falls</t>
  </si>
  <si>
    <t xml:space="preserve">834</t>
  </si>
  <si>
    <t xml:space="preserve">Idaho Falls</t>
  </si>
  <si>
    <t xml:space="preserve">835</t>
  </si>
  <si>
    <t xml:space="preserve">Lewiston</t>
  </si>
  <si>
    <t xml:space="preserve">836</t>
  </si>
  <si>
    <t xml:space="preserve">Boise</t>
  </si>
  <si>
    <t xml:space="preserve">837</t>
  </si>
  <si>
    <t xml:space="preserve">838</t>
  </si>
  <si>
    <t xml:space="preserve">Spokane</t>
  </si>
  <si>
    <t xml:space="preserve">WA</t>
  </si>
  <si>
    <t xml:space="preserve">840</t>
  </si>
  <si>
    <t xml:space="preserve">Salt Lake City</t>
  </si>
  <si>
    <t xml:space="preserve">UT</t>
  </si>
  <si>
    <t xml:space="preserve">841</t>
  </si>
  <si>
    <t xml:space="preserve">842</t>
  </si>
  <si>
    <t xml:space="preserve">Ogden</t>
  </si>
  <si>
    <t xml:space="preserve">843</t>
  </si>
  <si>
    <t xml:space="preserve">844</t>
  </si>
  <si>
    <t xml:space="preserve">845</t>
  </si>
  <si>
    <t xml:space="preserve">Price</t>
  </si>
  <si>
    <t xml:space="preserve">846</t>
  </si>
  <si>
    <t xml:space="preserve">Provo</t>
  </si>
  <si>
    <t xml:space="preserve">847</t>
  </si>
  <si>
    <t xml:space="preserve">Richfield</t>
  </si>
  <si>
    <t xml:space="preserve">850</t>
  </si>
  <si>
    <t xml:space="preserve">Phoenix</t>
  </si>
  <si>
    <t xml:space="preserve">AZ</t>
  </si>
  <si>
    <t xml:space="preserve">851</t>
  </si>
  <si>
    <t xml:space="preserve">852</t>
  </si>
  <si>
    <t xml:space="preserve">Mesa</t>
  </si>
  <si>
    <t xml:space="preserve">853</t>
  </si>
  <si>
    <t xml:space="preserve">Glendale</t>
  </si>
  <si>
    <t xml:space="preserve">855</t>
  </si>
  <si>
    <t xml:space="preserve">Globe</t>
  </si>
  <si>
    <t xml:space="preserve">856</t>
  </si>
  <si>
    <t xml:space="preserve">Tucson</t>
  </si>
  <si>
    <t xml:space="preserve">857</t>
  </si>
  <si>
    <t xml:space="preserve">859</t>
  </si>
  <si>
    <t xml:space="preserve">Show Low</t>
  </si>
  <si>
    <t xml:space="preserve">860</t>
  </si>
  <si>
    <t xml:space="preserve">Flagstaff</t>
  </si>
  <si>
    <t xml:space="preserve">863</t>
  </si>
  <si>
    <t xml:space="preserve">Prescott</t>
  </si>
  <si>
    <t xml:space="preserve">864</t>
  </si>
  <si>
    <t xml:space="preserve">Kingman</t>
  </si>
  <si>
    <t xml:space="preserve">865</t>
  </si>
  <si>
    <t xml:space="preserve">Gallup</t>
  </si>
  <si>
    <t xml:space="preserve">NM</t>
  </si>
  <si>
    <t xml:space="preserve">870</t>
  </si>
  <si>
    <t xml:space="preserve">Albuquerque</t>
  </si>
  <si>
    <t xml:space="preserve">871</t>
  </si>
  <si>
    <t xml:space="preserve">873</t>
  </si>
  <si>
    <t xml:space="preserve">874</t>
  </si>
  <si>
    <t xml:space="preserve">Farmington</t>
  </si>
  <si>
    <t xml:space="preserve">875</t>
  </si>
  <si>
    <t xml:space="preserve">Santa Fe</t>
  </si>
  <si>
    <t xml:space="preserve">877</t>
  </si>
  <si>
    <t xml:space="preserve">Las Vegas</t>
  </si>
  <si>
    <t xml:space="preserve">878</t>
  </si>
  <si>
    <t xml:space="preserve">Socorro</t>
  </si>
  <si>
    <t xml:space="preserve">879</t>
  </si>
  <si>
    <t xml:space="preserve">Truth or Consequences</t>
  </si>
  <si>
    <t xml:space="preserve">880</t>
  </si>
  <si>
    <t xml:space="preserve">Las Cruces</t>
  </si>
  <si>
    <t xml:space="preserve">881</t>
  </si>
  <si>
    <t xml:space="preserve">Clovis</t>
  </si>
  <si>
    <t xml:space="preserve">882</t>
  </si>
  <si>
    <t xml:space="preserve">Roswell</t>
  </si>
  <si>
    <t xml:space="preserve">883</t>
  </si>
  <si>
    <t xml:space="preserve">Carrizozo</t>
  </si>
  <si>
    <t xml:space="preserve">884</t>
  </si>
  <si>
    <t xml:space="preserve">Tucumcari</t>
  </si>
  <si>
    <t xml:space="preserve">885</t>
  </si>
  <si>
    <t xml:space="preserve">889</t>
  </si>
  <si>
    <t xml:space="preserve">The Lakes</t>
  </si>
  <si>
    <t xml:space="preserve">NV</t>
  </si>
  <si>
    <t xml:space="preserve">890</t>
  </si>
  <si>
    <t xml:space="preserve">891</t>
  </si>
  <si>
    <t xml:space="preserve">893</t>
  </si>
  <si>
    <t xml:space="preserve">Ely</t>
  </si>
  <si>
    <t xml:space="preserve">894</t>
  </si>
  <si>
    <t xml:space="preserve">Reno</t>
  </si>
  <si>
    <t xml:space="preserve">895</t>
  </si>
  <si>
    <t xml:space="preserve">897</t>
  </si>
  <si>
    <t xml:space="preserve">Carson City</t>
  </si>
  <si>
    <t xml:space="preserve">898</t>
  </si>
  <si>
    <t xml:space="preserve">Elko</t>
  </si>
  <si>
    <t xml:space="preserve">900</t>
  </si>
  <si>
    <t xml:space="preserve">Los Angeles</t>
  </si>
  <si>
    <t xml:space="preserve">CA</t>
  </si>
  <si>
    <t xml:space="preserve">901</t>
  </si>
  <si>
    <t xml:space="preserve">902</t>
  </si>
  <si>
    <t xml:space="preserve">903</t>
  </si>
  <si>
    <t xml:space="preserve">Inglewood</t>
  </si>
  <si>
    <t xml:space="preserve">904</t>
  </si>
  <si>
    <t xml:space="preserve">Santa Monica</t>
  </si>
  <si>
    <t xml:space="preserve">905</t>
  </si>
  <si>
    <t xml:space="preserve">Torrance</t>
  </si>
  <si>
    <t xml:space="preserve">906</t>
  </si>
  <si>
    <t xml:space="preserve">Whittier</t>
  </si>
  <si>
    <t xml:space="preserve">907</t>
  </si>
  <si>
    <t xml:space="preserve">Long Beach</t>
  </si>
  <si>
    <t xml:space="preserve">908</t>
  </si>
  <si>
    <t xml:space="preserve">910</t>
  </si>
  <si>
    <t xml:space="preserve">911</t>
  </si>
  <si>
    <t xml:space="preserve">912</t>
  </si>
  <si>
    <t xml:space="preserve">913</t>
  </si>
  <si>
    <t xml:space="preserve">Thousand Oaks</t>
  </si>
  <si>
    <t xml:space="preserve">914</t>
  </si>
  <si>
    <t xml:space="preserve">Van Nuys</t>
  </si>
  <si>
    <t xml:space="preserve">915</t>
  </si>
  <si>
    <t xml:space="preserve">Burbank</t>
  </si>
  <si>
    <t xml:space="preserve">916</t>
  </si>
  <si>
    <t xml:space="preserve">North Hollywood</t>
  </si>
  <si>
    <t xml:space="preserve">917</t>
  </si>
  <si>
    <t xml:space="preserve">Rancho Cucamonga</t>
  </si>
  <si>
    <t xml:space="preserve">918</t>
  </si>
  <si>
    <t xml:space="preserve">Alhambra</t>
  </si>
  <si>
    <t xml:space="preserve">919</t>
  </si>
  <si>
    <t xml:space="preserve">San Diego</t>
  </si>
  <si>
    <t xml:space="preserve">920</t>
  </si>
  <si>
    <t xml:space="preserve">921</t>
  </si>
  <si>
    <t xml:space="preserve">922</t>
  </si>
  <si>
    <t xml:space="preserve">Indio</t>
  </si>
  <si>
    <t xml:space="preserve">923</t>
  </si>
  <si>
    <t xml:space="preserve">San Bernardino</t>
  </si>
  <si>
    <t xml:space="preserve">924</t>
  </si>
  <si>
    <t xml:space="preserve">925</t>
  </si>
  <si>
    <t xml:space="preserve">Riverside</t>
  </si>
  <si>
    <t xml:space="preserve">926</t>
  </si>
  <si>
    <t xml:space="preserve">Irvine</t>
  </si>
  <si>
    <t xml:space="preserve">927</t>
  </si>
  <si>
    <t xml:space="preserve">Santa Ana</t>
  </si>
  <si>
    <t xml:space="preserve">928</t>
  </si>
  <si>
    <t xml:space="preserve">Anaheim</t>
  </si>
  <si>
    <t xml:space="preserve">930</t>
  </si>
  <si>
    <t xml:space="preserve">Ventura</t>
  </si>
  <si>
    <t xml:space="preserve">931</t>
  </si>
  <si>
    <t xml:space="preserve">Santa Barbara</t>
  </si>
  <si>
    <t xml:space="preserve">932</t>
  </si>
  <si>
    <t xml:space="preserve">Bakersfield</t>
  </si>
  <si>
    <t xml:space="preserve">933</t>
  </si>
  <si>
    <t xml:space="preserve">934</t>
  </si>
  <si>
    <t xml:space="preserve">San Luis Obispo</t>
  </si>
  <si>
    <t xml:space="preserve">935</t>
  </si>
  <si>
    <t xml:space="preserve">Mojave</t>
  </si>
  <si>
    <t xml:space="preserve">936</t>
  </si>
  <si>
    <t xml:space="preserve">Fresno</t>
  </si>
  <si>
    <t xml:space="preserve">937</t>
  </si>
  <si>
    <t xml:space="preserve">938</t>
  </si>
  <si>
    <t xml:space="preserve">939</t>
  </si>
  <si>
    <t xml:space="preserve">Salinas</t>
  </si>
  <si>
    <t xml:space="preserve">940</t>
  </si>
  <si>
    <t xml:space="preserve">San Francisco</t>
  </si>
  <si>
    <t xml:space="preserve">941</t>
  </si>
  <si>
    <t xml:space="preserve">942</t>
  </si>
  <si>
    <t xml:space="preserve">Sacramento</t>
  </si>
  <si>
    <t xml:space="preserve">943</t>
  </si>
  <si>
    <t xml:space="preserve">Palo Alto</t>
  </si>
  <si>
    <t xml:space="preserve">944</t>
  </si>
  <si>
    <t xml:space="preserve">San Mateo</t>
  </si>
  <si>
    <t xml:space="preserve">945</t>
  </si>
  <si>
    <t xml:space="preserve">Oakland</t>
  </si>
  <si>
    <t xml:space="preserve">946</t>
  </si>
  <si>
    <t xml:space="preserve">947</t>
  </si>
  <si>
    <t xml:space="preserve">Berkeley</t>
  </si>
  <si>
    <t xml:space="preserve">948</t>
  </si>
  <si>
    <t xml:space="preserve">949</t>
  </si>
  <si>
    <t xml:space="preserve">San Rafael</t>
  </si>
  <si>
    <t xml:space="preserve">950</t>
  </si>
  <si>
    <t xml:space="preserve">San Jose</t>
  </si>
  <si>
    <t xml:space="preserve">951</t>
  </si>
  <si>
    <t xml:space="preserve">952</t>
  </si>
  <si>
    <t xml:space="preserve">Stockton</t>
  </si>
  <si>
    <t xml:space="preserve">953</t>
  </si>
  <si>
    <t xml:space="preserve">954</t>
  </si>
  <si>
    <t xml:space="preserve">Santa Rosa</t>
  </si>
  <si>
    <t xml:space="preserve">955</t>
  </si>
  <si>
    <t xml:space="preserve">Eureka</t>
  </si>
  <si>
    <t xml:space="preserve">956</t>
  </si>
  <si>
    <t xml:space="preserve">957</t>
  </si>
  <si>
    <t xml:space="preserve">958</t>
  </si>
  <si>
    <t xml:space="preserve">959</t>
  </si>
  <si>
    <t xml:space="preserve">Marysville</t>
  </si>
  <si>
    <t xml:space="preserve">960</t>
  </si>
  <si>
    <t xml:space="preserve">Redding</t>
  </si>
  <si>
    <t xml:space="preserve">961</t>
  </si>
  <si>
    <t xml:space="preserve">967</t>
  </si>
  <si>
    <t xml:space="preserve">Honolulu</t>
  </si>
  <si>
    <t xml:space="preserve">HI</t>
  </si>
  <si>
    <t xml:space="preserve">968</t>
  </si>
  <si>
    <t xml:space="preserve">969</t>
  </si>
  <si>
    <t xml:space="preserve">Barrigada</t>
  </si>
  <si>
    <t xml:space="preserve">GU</t>
  </si>
  <si>
    <t xml:space="preserve">970</t>
  </si>
  <si>
    <t xml:space="preserve">OR</t>
  </si>
  <si>
    <t xml:space="preserve">971</t>
  </si>
  <si>
    <t xml:space="preserve">972</t>
  </si>
  <si>
    <t xml:space="preserve">973</t>
  </si>
  <si>
    <t xml:space="preserve">Salem</t>
  </si>
  <si>
    <t xml:space="preserve">974</t>
  </si>
  <si>
    <t xml:space="preserve">Eugene</t>
  </si>
  <si>
    <t xml:space="preserve">975</t>
  </si>
  <si>
    <t xml:space="preserve">Medford</t>
  </si>
  <si>
    <t xml:space="preserve">976</t>
  </si>
  <si>
    <t xml:space="preserve">Klamath Falls</t>
  </si>
  <si>
    <t xml:space="preserve">977</t>
  </si>
  <si>
    <t xml:space="preserve">Bend</t>
  </si>
  <si>
    <t xml:space="preserve">978</t>
  </si>
  <si>
    <t xml:space="preserve">Pendleton</t>
  </si>
  <si>
    <t xml:space="preserve">979</t>
  </si>
  <si>
    <t xml:space="preserve">980</t>
  </si>
  <si>
    <t xml:space="preserve">Seattle</t>
  </si>
  <si>
    <t xml:space="preserve">981</t>
  </si>
  <si>
    <t xml:space="preserve">982</t>
  </si>
  <si>
    <t xml:space="preserve">Everett</t>
  </si>
  <si>
    <t xml:space="preserve">983</t>
  </si>
  <si>
    <t xml:space="preserve">Tacoma</t>
  </si>
  <si>
    <t xml:space="preserve">984</t>
  </si>
  <si>
    <t xml:space="preserve">985</t>
  </si>
  <si>
    <t xml:space="preserve">Olympia</t>
  </si>
  <si>
    <t xml:space="preserve">986</t>
  </si>
  <si>
    <t xml:space="preserve">988</t>
  </si>
  <si>
    <t xml:space="preserve">Wenatchee</t>
  </si>
  <si>
    <t xml:space="preserve">989</t>
  </si>
  <si>
    <t xml:space="preserve">Yakima</t>
  </si>
  <si>
    <t xml:space="preserve">990</t>
  </si>
  <si>
    <t xml:space="preserve">991</t>
  </si>
  <si>
    <t xml:space="preserve">992</t>
  </si>
  <si>
    <t xml:space="preserve">993</t>
  </si>
  <si>
    <t xml:space="preserve">Pasco</t>
  </si>
  <si>
    <t xml:space="preserve">994</t>
  </si>
  <si>
    <t xml:space="preserve">995</t>
  </si>
  <si>
    <t xml:space="preserve">Anchorage</t>
  </si>
  <si>
    <t xml:space="preserve">AK</t>
  </si>
  <si>
    <t xml:space="preserve">996</t>
  </si>
  <si>
    <t xml:space="preserve">997</t>
  </si>
  <si>
    <t xml:space="preserve">Fairbanks</t>
  </si>
  <si>
    <t xml:space="preserve">998</t>
  </si>
  <si>
    <t xml:space="preserve">Juneau</t>
  </si>
  <si>
    <t xml:space="preserve">999</t>
  </si>
  <si>
    <t xml:space="preserve">Ketchikan</t>
  </si>
  <si>
    <t xml:space="preserve">Batch Quotes  —  paste Origin &amp; Dest ZIPs; leave Rate/Fuel/Min blank to use Quote Calculator defaults</t>
  </si>
  <si>
    <t xml:space="preserve">Origin ZIP</t>
  </si>
  <si>
    <t xml:space="preserve">Dest ZIP</t>
  </si>
  <si>
    <t xml:space="preserve">Straight mi</t>
  </si>
  <si>
    <t xml:space="preserve">Road mi</t>
  </si>
  <si>
    <t xml:space="preserve">Rate/mi</t>
  </si>
  <si>
    <t xml:space="preserve">Fuel %</t>
  </si>
  <si>
    <t xml:space="preserve">Min $</t>
  </si>
  <si>
    <t xml:space="preserve">QUOTE $</t>
  </si>
  <si>
    <t xml:space="preserve">FreightDesk — Offline Mileage &amp; Quote Calculator</t>
  </si>
  <si>
    <t xml:space="preserve">WHAT IT DOES</t>
  </si>
  <si>
    <t xml:space="preserve">Estimates driving miles between any two U.S. ZIP codes with no internet, then builds a freight quote.</t>
  </si>
  <si>
    <t xml:space="preserve">Works entirely offline — all ZIP coordinates are stored in the "ZIP Database" tab.</t>
  </si>
  <si>
    <t xml:space="preserve">HOW TO USE — Single quote (Quote Calculator tab)</t>
  </si>
  <si>
    <t xml:space="preserve">1.  Type the Origin and Destination 5-digit ZIP codes in the yellow input cells.</t>
  </si>
  <si>
    <t xml:space="preserve">2.  Set your Rate per mile, Fuel surcharge %, and Minimum charge (yellow cells).</t>
  </si>
  <si>
    <t xml:space="preserve">3.  Read the QUOTE at the bottom. Road miles and cost update automatically.</t>
  </si>
  <si>
    <t xml:space="preserve">HOW TO USE — Many lanes at once (Batch Quotes tab)</t>
  </si>
  <si>
    <t xml:space="preserve">Paste Origin and Dest ZIPs down columns A and B. Miles and quote fill in automatically.</t>
  </si>
  <si>
    <t xml:space="preserve">Leave Rate/Fuel/Min blank to use the Quote Calculator defaults, or override any row.</t>
  </si>
  <si>
    <t xml:space="preserve">HOW THE MILEAGE IS CALCULATED</t>
  </si>
  <si>
    <t xml:space="preserve">• Each ZIP is matched to its 3-digit ZIP zone (ZIP3) centroid — the same grain freight carriers rate on.</t>
  </si>
  <si>
    <t xml:space="preserve">• Great-circle (straight-line) distance is computed with the Haversine formula.</t>
  </si>
  <si>
    <t xml:space="preserve">• Road miles = straight-line × Road factor (default 1.20). Truck road miles typically run 15–20% longer</t>
  </si>
  <si>
    <t xml:space="preserve">   than straight-line; 1.20 is a conservative setting so you do not under-quote. Adjust it in cell C9.</t>
  </si>
  <si>
    <t xml:space="preserve">ACCURACY NOTE</t>
  </si>
  <si>
    <t xml:space="preserve">These are ESTIMATES for quoting, typically within ~5–10% of actual routed miles on medium/long hauls.</t>
  </si>
  <si>
    <t xml:space="preserve">For billing or fuel-tax (IFTA) use a routed-miles tool (PC*MILER, Google Maps).</t>
  </si>
  <si>
    <t xml:space="preserve">Coverage: all 916 in-use continental + AK/HI/PR/VI ZIP3 zones. (P.O.-box-only / military ZIPs excluded.)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</si>
</sst>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@"/>
    <numFmt numFmtId="166" formatCode="\$#,##0.00"/>
    <numFmt numFmtId="167" formatCode="0.0%"/>
    <numFmt numFmtId="168" formatCode="0.00\x"/>
    <numFmt numFmtId="169" formatCode="#,##0.0"/>
    <numFmt numFmtId="170" formatCode="#,##0"/>
    <numFmt numFmtId="171" formatCode="0.00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  <font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3"/>
      <color rgb="FF1F4E78"/>
      <name val="Arial"/>
      <family val="0"/>
      <charset val="1"/>
    </font>
    <font>
      <sz val="10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C6EFCE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20"/>
    <col collapsed="false" customWidth="true" hidden="false" outlineLevel="0" max="4" min="4" style="0" width="3"/>
    <col collapsed="false" customWidth="true" hidden="false" outlineLevel="0" max="5" min="5" style="0" width="40"/>
  </cols>
  <sheetData>
    <row r="1" customFormat="false" ht="25.5" hidden="false" customHeight="true" outlineLevel="0" collapsed="false">
      <c r="B1" s="1" t="s">
        <v>0</v>
      </c>
      <c r="C1" s="1"/>
      <c r="D1" s="1"/>
      <c r="E1" s="1"/>
    </row>
    <row r="3" customFormat="false" ht="15" hidden="false" customHeight="false" outlineLevel="0" collapsed="false">
      <c r="B3" s="2" t="s">
        <v>1</v>
      </c>
    </row>
    <row r="4" customFormat="false" ht="15" hidden="false" customHeight="true" outlineLevel="0" collapsed="false">
      <c r="B4" s="3" t="s">
        <v>2</v>
      </c>
      <c r="C4" s="4" t="s">
        <v>3</v>
      </c>
      <c r="E4" s="5" t="s">
        <v>4</v>
      </c>
    </row>
    <row r="5" customFormat="false" ht="15" hidden="false" customHeight="false" outlineLevel="0" collapsed="false">
      <c r="B5" s="3" t="s">
        <v>5</v>
      </c>
      <c r="C5" s="4" t="s">
        <v>6</v>
      </c>
      <c r="E5" s="5"/>
    </row>
    <row r="6" customFormat="false" ht="15" hidden="false" customHeight="false" outlineLevel="0" collapsed="false">
      <c r="B6" s="3" t="s">
        <v>7</v>
      </c>
      <c r="C6" s="6" t="n">
        <v>2.5</v>
      </c>
      <c r="E6" s="5"/>
    </row>
    <row r="7" customFormat="false" ht="15" hidden="false" customHeight="false" outlineLevel="0" collapsed="false">
      <c r="B7" s="3" t="s">
        <v>8</v>
      </c>
      <c r="C7" s="7" t="n">
        <v>0.18</v>
      </c>
      <c r="E7" s="5"/>
    </row>
    <row r="8" customFormat="false" ht="15" hidden="false" customHeight="false" outlineLevel="0" collapsed="false">
      <c r="B8" s="3" t="s">
        <v>9</v>
      </c>
      <c r="C8" s="6" t="n">
        <v>350</v>
      </c>
      <c r="E8" s="5"/>
    </row>
    <row r="9" customFormat="false" ht="15" hidden="false" customHeight="false" outlineLevel="0" collapsed="false">
      <c r="B9" s="3" t="s">
        <v>10</v>
      </c>
      <c r="C9" s="8" t="n">
        <v>1.2</v>
      </c>
      <c r="E9" s="5"/>
    </row>
    <row r="11" customFormat="false" ht="15" hidden="false" customHeight="false" outlineLevel="0" collapsed="false">
      <c r="B11" s="2" t="s">
        <v>11</v>
      </c>
    </row>
    <row r="12" customFormat="false" ht="15" hidden="false" customHeight="false" outlineLevel="0" collapsed="false">
      <c r="B12" s="3" t="s">
        <v>12</v>
      </c>
      <c r="C12" s="9" t="str">
        <f aca="false">IFERROR(INDEX('ZIP Database'!$B:$B,MATCH($C$23,'ZIP Database'!$A:$A,0))&amp;", "&amp;INDEX('ZIP Database'!$C:$C,MATCH($C$23,'ZIP Database'!$A:$A,0)),"ZIP3 "&amp;$C$23&amp;" not found")</f>
        <v>Atlanta, GA</v>
      </c>
    </row>
    <row r="13" customFormat="false" ht="15" hidden="false" customHeight="false" outlineLevel="0" collapsed="false">
      <c r="B13" s="3" t="s">
        <v>13</v>
      </c>
      <c r="C13" s="9" t="str">
        <f aca="false">IFERROR(INDEX('ZIP Database'!$B:$B,MATCH($C$26,'ZIP Database'!$A:$A,0))&amp;", "&amp;INDEX('ZIP Database'!$C:$C,MATCH($C$26,'ZIP Database'!$A:$A,0)),"ZIP3 "&amp;$C$26&amp;" not found")</f>
        <v>Newark, NJ</v>
      </c>
    </row>
    <row r="14" customFormat="false" ht="15" hidden="false" customHeight="false" outlineLevel="0" collapsed="false">
      <c r="B14" s="3" t="s">
        <v>14</v>
      </c>
      <c r="C14" s="10" t="n">
        <f aca="false">IF(OR($C$24="",$C$27=""),"",ROUND(3958.8*ACOS(MIN(1,SIN(RADIANS($C$24))*SIN(RADIANS($C$27))+COS(RADIANS($C$24))*COS(RADIANS($C$27))*COS(RADIANS($C$28-$C$25)))),1))</f>
        <v>739.9</v>
      </c>
    </row>
    <row r="15" customFormat="false" ht="15" hidden="false" customHeight="false" outlineLevel="0" collapsed="false">
      <c r="B15" s="11" t="s">
        <v>15</v>
      </c>
      <c r="C15" s="12" t="n">
        <f aca="false">IF($C$14="","",ROUND($C$14*$C$9,0))</f>
        <v>888</v>
      </c>
    </row>
    <row r="16" customFormat="false" ht="15" hidden="false" customHeight="false" outlineLevel="0" collapsed="false">
      <c r="B16" s="3" t="s">
        <v>16</v>
      </c>
      <c r="C16" s="13" t="n">
        <f aca="false">IF($C$15="","",$C$15*$C$6)</f>
        <v>2220</v>
      </c>
    </row>
    <row r="17" customFormat="false" ht="15" hidden="false" customHeight="false" outlineLevel="0" collapsed="false">
      <c r="B17" s="3" t="s">
        <v>17</v>
      </c>
      <c r="C17" s="13" t="n">
        <f aca="false">IF($C$16="","",$C$16*$C$7)</f>
        <v>399.6</v>
      </c>
    </row>
    <row r="18" customFormat="false" ht="15" hidden="false" customHeight="false" outlineLevel="0" collapsed="false">
      <c r="B18" s="3" t="s">
        <v>18</v>
      </c>
      <c r="C18" s="13" t="n">
        <f aca="false">IF($C$16="","",$C$16+$C$17)</f>
        <v>2619.6</v>
      </c>
    </row>
    <row r="19" customFormat="false" ht="15" hidden="false" customHeight="false" outlineLevel="0" collapsed="false">
      <c r="B19" s="14" t="s">
        <v>19</v>
      </c>
      <c r="C19" s="15" t="n">
        <f aca="false">IF($C$16="","",MAX($C$18,$C$8))</f>
        <v>2619.6</v>
      </c>
    </row>
    <row r="22" customFormat="false" ht="15" hidden="false" customHeight="false" outlineLevel="0" collapsed="false">
      <c r="B22" s="16" t="s">
        <v>20</v>
      </c>
    </row>
    <row r="23" customFormat="false" ht="15" hidden="false" customHeight="false" outlineLevel="0" collapsed="false">
      <c r="B23" s="17" t="s">
        <v>21</v>
      </c>
      <c r="C23" s="18" t="str">
        <f aca="false">LEFT(TEXT(C4,"00000"),3)</f>
        <v>303</v>
      </c>
    </row>
    <row r="24" customFormat="false" ht="15" hidden="false" customHeight="false" outlineLevel="0" collapsed="false">
      <c r="B24" s="17" t="s">
        <v>22</v>
      </c>
      <c r="C24" s="19" t="n">
        <f aca="false">IFERROR(INDEX('ZIP Database'!$D:$D,MATCH($C$23,'ZIP Database'!$A:$A,0)),"")</f>
        <v>33.749</v>
      </c>
    </row>
    <row r="25" customFormat="false" ht="15" hidden="false" customHeight="false" outlineLevel="0" collapsed="false">
      <c r="B25" s="17" t="s">
        <v>23</v>
      </c>
      <c r="C25" s="19" t="n">
        <f aca="false">IFERROR(INDEX('ZIP Database'!$E:$E,MATCH($C$23,'ZIP Database'!$A:$A,0)),"")</f>
        <v>-84.388</v>
      </c>
    </row>
    <row r="26" customFormat="false" ht="15" hidden="false" customHeight="false" outlineLevel="0" collapsed="false">
      <c r="B26" s="17" t="s">
        <v>24</v>
      </c>
      <c r="C26" s="18" t="str">
        <f aca="false">LEFT(TEXT(C5,"00000"),3)</f>
        <v>070</v>
      </c>
    </row>
    <row r="27" customFormat="false" ht="15" hidden="false" customHeight="false" outlineLevel="0" collapsed="false">
      <c r="B27" s="17" t="s">
        <v>25</v>
      </c>
      <c r="C27" s="19" t="n">
        <f aca="false">IFERROR(INDEX('ZIP Database'!$D:$D,MATCH($C$26,'ZIP Database'!$A:$A,0)),"")</f>
        <v>40.7357</v>
      </c>
    </row>
    <row r="28" customFormat="false" ht="15" hidden="false" customHeight="false" outlineLevel="0" collapsed="false">
      <c r="B28" s="17" t="s">
        <v>26</v>
      </c>
      <c r="C28" s="19" t="n">
        <f aca="false">IFERROR(INDEX('ZIP Database'!$E:$E,MATCH($C$26,'ZIP Database'!$A:$A,0)),"")</f>
        <v>-74.1724</v>
      </c>
    </row>
  </sheetData>
  <mergeCells count="2">
    <mergeCell ref="B1:E1"/>
    <mergeCell ref="E4:E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8"/>
    <col collapsed="false" customWidth="true" hidden="false" outlineLevel="0" max="5" min="4" style="0" width="11"/>
  </cols>
  <sheetData>
    <row r="1" customFormat="false" ht="15" hidden="false" customHeight="false" outlineLevel="0" collapsed="false">
      <c r="A1" s="20" t="s">
        <v>27</v>
      </c>
      <c r="B1" s="20" t="s">
        <v>28</v>
      </c>
      <c r="C1" s="20" t="s">
        <v>29</v>
      </c>
      <c r="D1" s="20" t="s">
        <v>30</v>
      </c>
      <c r="E1" s="20" t="s">
        <v>31</v>
      </c>
    </row>
    <row r="2" customFormat="false" ht="15" hidden="false" customHeight="false" outlineLevel="0" collapsed="false">
      <c r="A2" s="21" t="s">
        <v>32</v>
      </c>
      <c r="B2" s="3" t="s">
        <v>33</v>
      </c>
      <c r="C2" s="3" t="s">
        <v>34</v>
      </c>
      <c r="D2" s="3" t="n">
        <v>40.81</v>
      </c>
      <c r="E2" s="3" t="n">
        <v>-73.05</v>
      </c>
    </row>
    <row r="3" customFormat="false" ht="15" hidden="false" customHeight="false" outlineLevel="0" collapsed="false">
      <c r="A3" s="21" t="s">
        <v>35</v>
      </c>
      <c r="B3" s="3" t="s">
        <v>36</v>
      </c>
      <c r="C3" s="3" t="s">
        <v>37</v>
      </c>
      <c r="D3" s="3" t="n">
        <v>18.47</v>
      </c>
      <c r="E3" s="3" t="n">
        <v>-66.11</v>
      </c>
    </row>
    <row r="4" customFormat="false" ht="15" hidden="false" customHeight="false" outlineLevel="0" collapsed="false">
      <c r="A4" s="21" t="s">
        <v>38</v>
      </c>
      <c r="B4" s="3" t="s">
        <v>36</v>
      </c>
      <c r="C4" s="3" t="s">
        <v>37</v>
      </c>
      <c r="D4" s="3" t="n">
        <v>18.47</v>
      </c>
      <c r="E4" s="3" t="n">
        <v>-66.11</v>
      </c>
    </row>
    <row r="5" customFormat="false" ht="15" hidden="false" customHeight="false" outlineLevel="0" collapsed="false">
      <c r="A5" s="21" t="s">
        <v>39</v>
      </c>
      <c r="B5" s="3" t="s">
        <v>40</v>
      </c>
      <c r="C5" s="3" t="s">
        <v>41</v>
      </c>
      <c r="D5" s="3" t="n">
        <v>18.34</v>
      </c>
      <c r="E5" s="3" t="n">
        <v>-64.93</v>
      </c>
    </row>
    <row r="6" customFormat="false" ht="15" hidden="false" customHeight="false" outlineLevel="0" collapsed="false">
      <c r="A6" s="21" t="s">
        <v>42</v>
      </c>
      <c r="B6" s="3" t="s">
        <v>36</v>
      </c>
      <c r="C6" s="3" t="s">
        <v>37</v>
      </c>
      <c r="D6" s="3" t="n">
        <v>18.47</v>
      </c>
      <c r="E6" s="3" t="n">
        <v>-66.11</v>
      </c>
    </row>
    <row r="7" customFormat="false" ht="15" hidden="false" customHeight="false" outlineLevel="0" collapsed="false">
      <c r="A7" s="21" t="s">
        <v>43</v>
      </c>
      <c r="B7" s="3" t="s">
        <v>44</v>
      </c>
      <c r="C7" s="3" t="s">
        <v>45</v>
      </c>
      <c r="D7" s="3" t="n">
        <v>42.1015</v>
      </c>
      <c r="E7" s="3" t="n">
        <v>-72.5898</v>
      </c>
    </row>
    <row r="8" customFormat="false" ht="15" hidden="false" customHeight="false" outlineLevel="0" collapsed="false">
      <c r="A8" s="21" t="s">
        <v>46</v>
      </c>
      <c r="B8" s="3" t="s">
        <v>44</v>
      </c>
      <c r="C8" s="3" t="s">
        <v>45</v>
      </c>
      <c r="D8" s="3" t="n">
        <v>42.1015</v>
      </c>
      <c r="E8" s="3" t="n">
        <v>-72.5898</v>
      </c>
    </row>
    <row r="9" customFormat="false" ht="15" hidden="false" customHeight="false" outlineLevel="0" collapsed="false">
      <c r="A9" s="21" t="s">
        <v>47</v>
      </c>
      <c r="B9" s="3" t="s">
        <v>48</v>
      </c>
      <c r="C9" s="3" t="s">
        <v>45</v>
      </c>
      <c r="D9" s="3" t="n">
        <v>42.4501</v>
      </c>
      <c r="E9" s="3" t="n">
        <v>-73.2454</v>
      </c>
    </row>
    <row r="10" customFormat="false" ht="15" hidden="false" customHeight="false" outlineLevel="0" collapsed="false">
      <c r="A10" s="21" t="s">
        <v>49</v>
      </c>
      <c r="B10" s="3" t="s">
        <v>50</v>
      </c>
      <c r="C10" s="3" t="s">
        <v>45</v>
      </c>
      <c r="D10" s="3" t="n">
        <v>42.59</v>
      </c>
      <c r="E10" s="3" t="n">
        <v>-72.6</v>
      </c>
    </row>
    <row r="11" customFormat="false" ht="15" hidden="false" customHeight="false" outlineLevel="0" collapsed="false">
      <c r="A11" s="21" t="s">
        <v>51</v>
      </c>
      <c r="B11" s="3" t="s">
        <v>52</v>
      </c>
      <c r="C11" s="3" t="s">
        <v>45</v>
      </c>
      <c r="D11" s="3" t="n">
        <v>42.5834</v>
      </c>
      <c r="E11" s="3" t="n">
        <v>-71.8023</v>
      </c>
    </row>
    <row r="12" customFormat="false" ht="15" hidden="false" customHeight="false" outlineLevel="0" collapsed="false">
      <c r="A12" s="21" t="s">
        <v>53</v>
      </c>
      <c r="B12" s="3" t="s">
        <v>54</v>
      </c>
      <c r="C12" s="3" t="s">
        <v>45</v>
      </c>
      <c r="D12" s="3" t="n">
        <v>42.2626</v>
      </c>
      <c r="E12" s="3" t="n">
        <v>-71.8023</v>
      </c>
    </row>
    <row r="13" customFormat="false" ht="15" hidden="false" customHeight="false" outlineLevel="0" collapsed="false">
      <c r="A13" s="21" t="s">
        <v>55</v>
      </c>
      <c r="B13" s="3" t="s">
        <v>54</v>
      </c>
      <c r="C13" s="3" t="s">
        <v>45</v>
      </c>
      <c r="D13" s="3" t="n">
        <v>42.2626</v>
      </c>
      <c r="E13" s="3" t="n">
        <v>-71.8023</v>
      </c>
    </row>
    <row r="14" customFormat="false" ht="15" hidden="false" customHeight="false" outlineLevel="0" collapsed="false">
      <c r="A14" s="21" t="s">
        <v>56</v>
      </c>
      <c r="B14" s="3" t="s">
        <v>57</v>
      </c>
      <c r="C14" s="3" t="s">
        <v>45</v>
      </c>
      <c r="D14" s="3" t="n">
        <v>42.28</v>
      </c>
      <c r="E14" s="3" t="n">
        <v>-71.42</v>
      </c>
    </row>
    <row r="15" customFormat="false" ht="15" hidden="false" customHeight="false" outlineLevel="0" collapsed="false">
      <c r="A15" s="21" t="s">
        <v>58</v>
      </c>
      <c r="B15" s="3" t="s">
        <v>59</v>
      </c>
      <c r="C15" s="3" t="s">
        <v>45</v>
      </c>
      <c r="D15" s="3" t="n">
        <v>42.4793</v>
      </c>
      <c r="E15" s="3" t="n">
        <v>-71.1523</v>
      </c>
    </row>
    <row r="16" customFormat="false" ht="15" hidden="false" customHeight="false" outlineLevel="0" collapsed="false">
      <c r="A16" s="21" t="s">
        <v>60</v>
      </c>
      <c r="B16" s="3" t="s">
        <v>61</v>
      </c>
      <c r="C16" s="3" t="s">
        <v>45</v>
      </c>
      <c r="D16" s="3" t="n">
        <v>42.4668</v>
      </c>
      <c r="E16" s="3" t="n">
        <v>-70.9495</v>
      </c>
    </row>
    <row r="17" customFormat="false" ht="15" hidden="false" customHeight="false" outlineLevel="0" collapsed="false">
      <c r="A17" s="21" t="s">
        <v>62</v>
      </c>
      <c r="B17" s="3" t="s">
        <v>63</v>
      </c>
      <c r="C17" s="3" t="s">
        <v>45</v>
      </c>
      <c r="D17" s="3" t="n">
        <v>42.0834</v>
      </c>
      <c r="E17" s="3" t="n">
        <v>-71.0184</v>
      </c>
    </row>
    <row r="18" customFormat="false" ht="15" hidden="false" customHeight="false" outlineLevel="0" collapsed="false">
      <c r="A18" s="21" t="s">
        <v>64</v>
      </c>
      <c r="B18" s="3" t="s">
        <v>65</v>
      </c>
      <c r="C18" s="3" t="s">
        <v>45</v>
      </c>
      <c r="D18" s="3" t="n">
        <v>42.3601</v>
      </c>
      <c r="E18" s="3" t="n">
        <v>-71.0589</v>
      </c>
    </row>
    <row r="19" customFormat="false" ht="15" hidden="false" customHeight="false" outlineLevel="0" collapsed="false">
      <c r="A19" s="21" t="s">
        <v>66</v>
      </c>
      <c r="B19" s="3" t="s">
        <v>65</v>
      </c>
      <c r="C19" s="3" t="s">
        <v>45</v>
      </c>
      <c r="D19" s="3" t="n">
        <v>42.3601</v>
      </c>
      <c r="E19" s="3" t="n">
        <v>-71.0589</v>
      </c>
    </row>
    <row r="20" customFormat="false" ht="15" hidden="false" customHeight="false" outlineLevel="0" collapsed="false">
      <c r="A20" s="21" t="s">
        <v>67</v>
      </c>
      <c r="B20" s="3" t="s">
        <v>63</v>
      </c>
      <c r="C20" s="3" t="s">
        <v>45</v>
      </c>
      <c r="D20" s="3" t="n">
        <v>42.0834</v>
      </c>
      <c r="E20" s="3" t="n">
        <v>-71.0184</v>
      </c>
    </row>
    <row r="21" customFormat="false" ht="15" hidden="false" customHeight="false" outlineLevel="0" collapsed="false">
      <c r="A21" s="21" t="s">
        <v>68</v>
      </c>
      <c r="B21" s="3" t="s">
        <v>69</v>
      </c>
      <c r="C21" s="3" t="s">
        <v>45</v>
      </c>
      <c r="D21" s="3" t="n">
        <v>42.45</v>
      </c>
      <c r="E21" s="3" t="n">
        <v>-71.23</v>
      </c>
    </row>
    <row r="22" customFormat="false" ht="15" hidden="false" customHeight="false" outlineLevel="0" collapsed="false">
      <c r="A22" s="21" t="s">
        <v>70</v>
      </c>
      <c r="B22" s="3" t="s">
        <v>71</v>
      </c>
      <c r="C22" s="3" t="s">
        <v>45</v>
      </c>
      <c r="D22" s="3" t="n">
        <v>41.65</v>
      </c>
      <c r="E22" s="3" t="n">
        <v>-70.29</v>
      </c>
    </row>
    <row r="23" customFormat="false" ht="15" hidden="false" customHeight="false" outlineLevel="0" collapsed="false">
      <c r="A23" s="21" t="s">
        <v>72</v>
      </c>
      <c r="B23" s="3" t="s">
        <v>71</v>
      </c>
      <c r="C23" s="3" t="s">
        <v>45</v>
      </c>
      <c r="D23" s="3" t="n">
        <v>41.65</v>
      </c>
      <c r="E23" s="3" t="n">
        <v>-70.29</v>
      </c>
    </row>
    <row r="24" customFormat="false" ht="15" hidden="false" customHeight="false" outlineLevel="0" collapsed="false">
      <c r="A24" s="21" t="s">
        <v>73</v>
      </c>
      <c r="B24" s="3" t="s">
        <v>74</v>
      </c>
      <c r="C24" s="3" t="s">
        <v>75</v>
      </c>
      <c r="D24" s="3" t="n">
        <v>41.824</v>
      </c>
      <c r="E24" s="3" t="n">
        <v>-71.4128</v>
      </c>
    </row>
    <row r="25" customFormat="false" ht="15" hidden="false" customHeight="false" outlineLevel="0" collapsed="false">
      <c r="A25" s="21" t="s">
        <v>76</v>
      </c>
      <c r="B25" s="3" t="s">
        <v>74</v>
      </c>
      <c r="C25" s="3" t="s">
        <v>75</v>
      </c>
      <c r="D25" s="3" t="n">
        <v>41.824</v>
      </c>
      <c r="E25" s="3" t="n">
        <v>-71.4128</v>
      </c>
    </row>
    <row r="26" customFormat="false" ht="15" hidden="false" customHeight="false" outlineLevel="0" collapsed="false">
      <c r="A26" s="21" t="s">
        <v>77</v>
      </c>
      <c r="B26" s="3" t="s">
        <v>74</v>
      </c>
      <c r="C26" s="3" t="s">
        <v>75</v>
      </c>
      <c r="D26" s="3" t="n">
        <v>41.824</v>
      </c>
      <c r="E26" s="3" t="n">
        <v>-71.4128</v>
      </c>
    </row>
    <row r="27" customFormat="false" ht="15" hidden="false" customHeight="false" outlineLevel="0" collapsed="false">
      <c r="A27" s="21" t="s">
        <v>78</v>
      </c>
      <c r="B27" s="3" t="s">
        <v>79</v>
      </c>
      <c r="C27" s="3" t="s">
        <v>80</v>
      </c>
      <c r="D27" s="3" t="n">
        <v>42.9956</v>
      </c>
      <c r="E27" s="3" t="n">
        <v>-71.4548</v>
      </c>
    </row>
    <row r="28" customFormat="false" ht="15" hidden="false" customHeight="false" outlineLevel="0" collapsed="false">
      <c r="A28" s="21" t="s">
        <v>81</v>
      </c>
      <c r="B28" s="3" t="s">
        <v>79</v>
      </c>
      <c r="C28" s="3" t="s">
        <v>80</v>
      </c>
      <c r="D28" s="3" t="n">
        <v>42.9956</v>
      </c>
      <c r="E28" s="3" t="n">
        <v>-71.4548</v>
      </c>
    </row>
    <row r="29" customFormat="false" ht="15" hidden="false" customHeight="false" outlineLevel="0" collapsed="false">
      <c r="A29" s="21" t="s">
        <v>82</v>
      </c>
      <c r="B29" s="3" t="s">
        <v>83</v>
      </c>
      <c r="C29" s="3" t="s">
        <v>80</v>
      </c>
      <c r="D29" s="3" t="n">
        <v>43.95</v>
      </c>
      <c r="E29" s="3" t="n">
        <v>-71.5</v>
      </c>
    </row>
    <row r="30" customFormat="false" ht="15" hidden="false" customHeight="false" outlineLevel="0" collapsed="false">
      <c r="A30" s="21" t="s">
        <v>84</v>
      </c>
      <c r="B30" s="3" t="s">
        <v>85</v>
      </c>
      <c r="C30" s="3" t="s">
        <v>80</v>
      </c>
      <c r="D30" s="3" t="n">
        <v>43.2081</v>
      </c>
      <c r="E30" s="3" t="n">
        <v>-71.5376</v>
      </c>
    </row>
    <row r="31" customFormat="false" ht="15" hidden="false" customHeight="false" outlineLevel="0" collapsed="false">
      <c r="A31" s="21" t="s">
        <v>86</v>
      </c>
      <c r="B31" s="3" t="s">
        <v>87</v>
      </c>
      <c r="C31" s="3" t="s">
        <v>80</v>
      </c>
      <c r="D31" s="3" t="n">
        <v>42.93</v>
      </c>
      <c r="E31" s="3" t="n">
        <v>-72.28</v>
      </c>
    </row>
    <row r="32" customFormat="false" ht="15" hidden="false" customHeight="false" outlineLevel="0" collapsed="false">
      <c r="A32" s="21" t="s">
        <v>88</v>
      </c>
      <c r="B32" s="3" t="s">
        <v>89</v>
      </c>
      <c r="C32" s="3" t="s">
        <v>80</v>
      </c>
      <c r="D32" s="3" t="n">
        <v>44.31</v>
      </c>
      <c r="E32" s="3" t="n">
        <v>-71.77</v>
      </c>
    </row>
    <row r="33" customFormat="false" ht="15" hidden="false" customHeight="false" outlineLevel="0" collapsed="false">
      <c r="A33" s="21" t="s">
        <v>90</v>
      </c>
      <c r="B33" s="3" t="s">
        <v>91</v>
      </c>
      <c r="C33" s="3" t="s">
        <v>92</v>
      </c>
      <c r="D33" s="3" t="n">
        <v>43.13</v>
      </c>
      <c r="E33" s="3" t="n">
        <v>-72.44</v>
      </c>
    </row>
    <row r="34" customFormat="false" ht="15" hidden="false" customHeight="false" outlineLevel="0" collapsed="false">
      <c r="A34" s="21" t="s">
        <v>93</v>
      </c>
      <c r="B34" s="3" t="s">
        <v>94</v>
      </c>
      <c r="C34" s="3" t="s">
        <v>92</v>
      </c>
      <c r="D34" s="3" t="n">
        <v>43.65</v>
      </c>
      <c r="E34" s="3" t="n">
        <v>-72.32</v>
      </c>
    </row>
    <row r="35" customFormat="false" ht="15" hidden="false" customHeight="false" outlineLevel="0" collapsed="false">
      <c r="A35" s="21" t="s">
        <v>95</v>
      </c>
      <c r="B35" s="3" t="s">
        <v>96</v>
      </c>
      <c r="C35" s="3" t="s">
        <v>80</v>
      </c>
      <c r="D35" s="3" t="n">
        <v>43.07</v>
      </c>
      <c r="E35" s="3" t="n">
        <v>-70.76</v>
      </c>
    </row>
    <row r="36" customFormat="false" ht="15" hidden="false" customHeight="false" outlineLevel="0" collapsed="false">
      <c r="A36" s="21" t="s">
        <v>97</v>
      </c>
      <c r="B36" s="3" t="s">
        <v>96</v>
      </c>
      <c r="C36" s="3" t="s">
        <v>80</v>
      </c>
      <c r="D36" s="3" t="n">
        <v>43.07</v>
      </c>
      <c r="E36" s="3" t="n">
        <v>-70.76</v>
      </c>
    </row>
    <row r="37" customFormat="false" ht="15" hidden="false" customHeight="false" outlineLevel="0" collapsed="false">
      <c r="A37" s="21" t="s">
        <v>98</v>
      </c>
      <c r="B37" s="3" t="s">
        <v>99</v>
      </c>
      <c r="C37" s="3" t="s">
        <v>100</v>
      </c>
      <c r="D37" s="3" t="n">
        <v>43.6615</v>
      </c>
      <c r="E37" s="3" t="n">
        <v>-70.2553</v>
      </c>
    </row>
    <row r="38" customFormat="false" ht="15" hidden="false" customHeight="false" outlineLevel="0" collapsed="false">
      <c r="A38" s="21" t="s">
        <v>101</v>
      </c>
      <c r="B38" s="3" t="s">
        <v>99</v>
      </c>
      <c r="C38" s="3" t="s">
        <v>100</v>
      </c>
      <c r="D38" s="3" t="n">
        <v>43.6615</v>
      </c>
      <c r="E38" s="3" t="n">
        <v>-70.2553</v>
      </c>
    </row>
    <row r="39" customFormat="false" ht="15" hidden="false" customHeight="false" outlineLevel="0" collapsed="false">
      <c r="A39" s="21" t="s">
        <v>102</v>
      </c>
      <c r="B39" s="3" t="s">
        <v>103</v>
      </c>
      <c r="C39" s="3" t="s">
        <v>100</v>
      </c>
      <c r="D39" s="3" t="n">
        <v>44.1</v>
      </c>
      <c r="E39" s="3" t="n">
        <v>-70.23</v>
      </c>
    </row>
    <row r="40" customFormat="false" ht="15" hidden="false" customHeight="false" outlineLevel="0" collapsed="false">
      <c r="A40" s="21" t="s">
        <v>104</v>
      </c>
      <c r="B40" s="3" t="s">
        <v>105</v>
      </c>
      <c r="C40" s="3" t="s">
        <v>100</v>
      </c>
      <c r="D40" s="3" t="n">
        <v>44.31</v>
      </c>
      <c r="E40" s="3" t="n">
        <v>-69.78</v>
      </c>
    </row>
    <row r="41" customFormat="false" ht="15" hidden="false" customHeight="false" outlineLevel="0" collapsed="false">
      <c r="A41" s="21" t="s">
        <v>106</v>
      </c>
      <c r="B41" s="3" t="s">
        <v>107</v>
      </c>
      <c r="C41" s="3" t="s">
        <v>100</v>
      </c>
      <c r="D41" s="3" t="n">
        <v>44.8</v>
      </c>
      <c r="E41" s="3" t="n">
        <v>-68.77</v>
      </c>
    </row>
    <row r="42" customFormat="false" ht="15" hidden="false" customHeight="false" outlineLevel="0" collapsed="false">
      <c r="A42" s="21" t="s">
        <v>108</v>
      </c>
      <c r="B42" s="3" t="s">
        <v>109</v>
      </c>
      <c r="C42" s="3" t="s">
        <v>100</v>
      </c>
      <c r="D42" s="3" t="n">
        <v>43.91</v>
      </c>
      <c r="E42" s="3" t="n">
        <v>-69.82</v>
      </c>
    </row>
    <row r="43" customFormat="false" ht="15" hidden="false" customHeight="false" outlineLevel="0" collapsed="false">
      <c r="A43" s="21" t="s">
        <v>110</v>
      </c>
      <c r="B43" s="3" t="s">
        <v>111</v>
      </c>
      <c r="C43" s="3" t="s">
        <v>100</v>
      </c>
      <c r="D43" s="3" t="n">
        <v>44.54</v>
      </c>
      <c r="E43" s="3" t="n">
        <v>-68.42</v>
      </c>
    </row>
    <row r="44" customFormat="false" ht="15" hidden="false" customHeight="false" outlineLevel="0" collapsed="false">
      <c r="A44" s="21" t="s">
        <v>112</v>
      </c>
      <c r="B44" s="3" t="s">
        <v>113</v>
      </c>
      <c r="C44" s="3" t="s">
        <v>100</v>
      </c>
      <c r="D44" s="3" t="n">
        <v>46.13</v>
      </c>
      <c r="E44" s="3" t="n">
        <v>-67.84</v>
      </c>
    </row>
    <row r="45" customFormat="false" ht="15" hidden="false" customHeight="false" outlineLevel="0" collapsed="false">
      <c r="A45" s="21" t="s">
        <v>114</v>
      </c>
      <c r="B45" s="3" t="s">
        <v>115</v>
      </c>
      <c r="C45" s="3" t="s">
        <v>100</v>
      </c>
      <c r="D45" s="3" t="n">
        <v>44.1</v>
      </c>
      <c r="E45" s="3" t="n">
        <v>-69.11</v>
      </c>
    </row>
    <row r="46" customFormat="false" ht="15" hidden="false" customHeight="false" outlineLevel="0" collapsed="false">
      <c r="A46" s="21" t="s">
        <v>116</v>
      </c>
      <c r="B46" s="3" t="s">
        <v>117</v>
      </c>
      <c r="C46" s="3" t="s">
        <v>100</v>
      </c>
      <c r="D46" s="3" t="n">
        <v>44.55</v>
      </c>
      <c r="E46" s="3" t="n">
        <v>-69.63</v>
      </c>
    </row>
    <row r="47" customFormat="false" ht="15" hidden="false" customHeight="false" outlineLevel="0" collapsed="false">
      <c r="A47" s="21" t="s">
        <v>118</v>
      </c>
      <c r="B47" s="3" t="s">
        <v>94</v>
      </c>
      <c r="C47" s="3" t="s">
        <v>92</v>
      </c>
      <c r="D47" s="3" t="n">
        <v>43.65</v>
      </c>
      <c r="E47" s="3" t="n">
        <v>-72.32</v>
      </c>
    </row>
    <row r="48" customFormat="false" ht="15" hidden="false" customHeight="false" outlineLevel="0" collapsed="false">
      <c r="A48" s="21" t="s">
        <v>119</v>
      </c>
      <c r="B48" s="3" t="s">
        <v>91</v>
      </c>
      <c r="C48" s="3" t="s">
        <v>92</v>
      </c>
      <c r="D48" s="3" t="n">
        <v>43.13</v>
      </c>
      <c r="E48" s="3" t="n">
        <v>-72.44</v>
      </c>
    </row>
    <row r="49" customFormat="false" ht="15" hidden="false" customHeight="false" outlineLevel="0" collapsed="false">
      <c r="A49" s="21" t="s">
        <v>120</v>
      </c>
      <c r="B49" s="3" t="s">
        <v>121</v>
      </c>
      <c r="C49" s="3" t="s">
        <v>92</v>
      </c>
      <c r="D49" s="3" t="n">
        <v>42.88</v>
      </c>
      <c r="E49" s="3" t="n">
        <v>-73.2</v>
      </c>
    </row>
    <row r="50" customFormat="false" ht="15" hidden="false" customHeight="false" outlineLevel="0" collapsed="false">
      <c r="A50" s="21" t="s">
        <v>122</v>
      </c>
      <c r="B50" s="3" t="s">
        <v>123</v>
      </c>
      <c r="C50" s="3" t="s">
        <v>92</v>
      </c>
      <c r="D50" s="3" t="n">
        <v>42.85</v>
      </c>
      <c r="E50" s="3" t="n">
        <v>-72.56</v>
      </c>
    </row>
    <row r="51" customFormat="false" ht="15" hidden="false" customHeight="false" outlineLevel="0" collapsed="false">
      <c r="A51" s="21" t="s">
        <v>124</v>
      </c>
      <c r="B51" s="3" t="s">
        <v>125</v>
      </c>
      <c r="C51" s="3" t="s">
        <v>92</v>
      </c>
      <c r="D51" s="3" t="n">
        <v>44.4759</v>
      </c>
      <c r="E51" s="3" t="n">
        <v>-73.2121</v>
      </c>
    </row>
    <row r="52" customFormat="false" ht="15" hidden="false" customHeight="false" outlineLevel="0" collapsed="false">
      <c r="A52" s="21" t="s">
        <v>126</v>
      </c>
      <c r="B52" s="3" t="s">
        <v>127</v>
      </c>
      <c r="C52" s="3" t="s">
        <v>45</v>
      </c>
      <c r="D52" s="3" t="n">
        <v>42.66</v>
      </c>
      <c r="E52" s="3" t="n">
        <v>-71.14</v>
      </c>
    </row>
    <row r="53" customFormat="false" ht="15" hidden="false" customHeight="false" outlineLevel="0" collapsed="false">
      <c r="A53" s="21" t="s">
        <v>128</v>
      </c>
      <c r="B53" s="3" t="s">
        <v>129</v>
      </c>
      <c r="C53" s="3" t="s">
        <v>92</v>
      </c>
      <c r="D53" s="3" t="n">
        <v>44.26</v>
      </c>
      <c r="E53" s="3" t="n">
        <v>-72.58</v>
      </c>
    </row>
    <row r="54" customFormat="false" ht="15" hidden="false" customHeight="false" outlineLevel="0" collapsed="false">
      <c r="A54" s="21" t="s">
        <v>130</v>
      </c>
      <c r="B54" s="3" t="s">
        <v>131</v>
      </c>
      <c r="C54" s="3" t="s">
        <v>92</v>
      </c>
      <c r="D54" s="3" t="n">
        <v>43.61</v>
      </c>
      <c r="E54" s="3" t="n">
        <v>-72.97</v>
      </c>
    </row>
    <row r="55" customFormat="false" ht="15" hidden="false" customHeight="false" outlineLevel="0" collapsed="false">
      <c r="A55" s="21" t="s">
        <v>132</v>
      </c>
      <c r="B55" s="3" t="s">
        <v>133</v>
      </c>
      <c r="C55" s="3" t="s">
        <v>92</v>
      </c>
      <c r="D55" s="3" t="n">
        <v>44.42</v>
      </c>
      <c r="E55" s="3" t="n">
        <v>-72.02</v>
      </c>
    </row>
    <row r="56" customFormat="false" ht="15" hidden="false" customHeight="false" outlineLevel="0" collapsed="false">
      <c r="A56" s="21" t="s">
        <v>134</v>
      </c>
      <c r="B56" s="3" t="s">
        <v>133</v>
      </c>
      <c r="C56" s="3" t="s">
        <v>92</v>
      </c>
      <c r="D56" s="3" t="n">
        <v>44.42</v>
      </c>
      <c r="E56" s="3" t="n">
        <v>-72.02</v>
      </c>
    </row>
    <row r="57" customFormat="false" ht="15" hidden="false" customHeight="false" outlineLevel="0" collapsed="false">
      <c r="A57" s="21" t="s">
        <v>135</v>
      </c>
      <c r="B57" s="3" t="s">
        <v>136</v>
      </c>
      <c r="C57" s="3" t="s">
        <v>137</v>
      </c>
      <c r="D57" s="3" t="n">
        <v>41.7637</v>
      </c>
      <c r="E57" s="3" t="n">
        <v>-72.6851</v>
      </c>
    </row>
    <row r="58" customFormat="false" ht="15" hidden="false" customHeight="false" outlineLevel="0" collapsed="false">
      <c r="A58" s="21" t="s">
        <v>138</v>
      </c>
      <c r="B58" s="3" t="s">
        <v>136</v>
      </c>
      <c r="C58" s="3" t="s">
        <v>137</v>
      </c>
      <c r="D58" s="3" t="n">
        <v>41.7637</v>
      </c>
      <c r="E58" s="3" t="n">
        <v>-72.6851</v>
      </c>
    </row>
    <row r="59" customFormat="false" ht="15" hidden="false" customHeight="false" outlineLevel="0" collapsed="false">
      <c r="A59" s="21" t="s">
        <v>139</v>
      </c>
      <c r="B59" s="3" t="s">
        <v>140</v>
      </c>
      <c r="C59" s="3" t="s">
        <v>137</v>
      </c>
      <c r="D59" s="3" t="n">
        <v>41.71</v>
      </c>
      <c r="E59" s="3" t="n">
        <v>-72.21</v>
      </c>
    </row>
    <row r="60" customFormat="false" ht="15" hidden="false" customHeight="false" outlineLevel="0" collapsed="false">
      <c r="A60" s="21" t="s">
        <v>141</v>
      </c>
      <c r="B60" s="3" t="s">
        <v>142</v>
      </c>
      <c r="C60" s="3" t="s">
        <v>137</v>
      </c>
      <c r="D60" s="3" t="n">
        <v>41.36</v>
      </c>
      <c r="E60" s="3" t="n">
        <v>-72.1</v>
      </c>
    </row>
    <row r="61" customFormat="false" ht="15" hidden="false" customHeight="false" outlineLevel="0" collapsed="false">
      <c r="A61" s="21" t="s">
        <v>143</v>
      </c>
      <c r="B61" s="3" t="s">
        <v>144</v>
      </c>
      <c r="C61" s="3" t="s">
        <v>137</v>
      </c>
      <c r="D61" s="3" t="n">
        <v>41.3083</v>
      </c>
      <c r="E61" s="3" t="n">
        <v>-72.9279</v>
      </c>
    </row>
    <row r="62" customFormat="false" ht="15" hidden="false" customHeight="false" outlineLevel="0" collapsed="false">
      <c r="A62" s="21" t="s">
        <v>145</v>
      </c>
      <c r="B62" s="3" t="s">
        <v>144</v>
      </c>
      <c r="C62" s="3" t="s">
        <v>137</v>
      </c>
      <c r="D62" s="3" t="n">
        <v>41.3083</v>
      </c>
      <c r="E62" s="3" t="n">
        <v>-72.9279</v>
      </c>
    </row>
    <row r="63" customFormat="false" ht="15" hidden="false" customHeight="false" outlineLevel="0" collapsed="false">
      <c r="A63" s="21" t="s">
        <v>146</v>
      </c>
      <c r="B63" s="3" t="s">
        <v>147</v>
      </c>
      <c r="C63" s="3" t="s">
        <v>137</v>
      </c>
      <c r="D63" s="3" t="n">
        <v>41.1865</v>
      </c>
      <c r="E63" s="3" t="n">
        <v>-73.1952</v>
      </c>
    </row>
    <row r="64" customFormat="false" ht="15" hidden="false" customHeight="false" outlineLevel="0" collapsed="false">
      <c r="A64" s="21" t="s">
        <v>148</v>
      </c>
      <c r="B64" s="3" t="s">
        <v>149</v>
      </c>
      <c r="C64" s="3" t="s">
        <v>137</v>
      </c>
      <c r="D64" s="3" t="n">
        <v>41.5582</v>
      </c>
      <c r="E64" s="3" t="n">
        <v>-73.0515</v>
      </c>
    </row>
    <row r="65" customFormat="false" ht="15" hidden="false" customHeight="false" outlineLevel="0" collapsed="false">
      <c r="A65" s="21" t="s">
        <v>150</v>
      </c>
      <c r="B65" s="3" t="s">
        <v>151</v>
      </c>
      <c r="C65" s="3" t="s">
        <v>137</v>
      </c>
      <c r="D65" s="3" t="n">
        <v>41.0534</v>
      </c>
      <c r="E65" s="3" t="n">
        <v>-73.5387</v>
      </c>
    </row>
    <row r="66" customFormat="false" ht="15" hidden="false" customHeight="false" outlineLevel="0" collapsed="false">
      <c r="A66" s="21" t="s">
        <v>152</v>
      </c>
      <c r="B66" s="3" t="s">
        <v>151</v>
      </c>
      <c r="C66" s="3" t="s">
        <v>137</v>
      </c>
      <c r="D66" s="3" t="n">
        <v>41.0534</v>
      </c>
      <c r="E66" s="3" t="n">
        <v>-73.5387</v>
      </c>
    </row>
    <row r="67" customFormat="false" ht="15" hidden="false" customHeight="false" outlineLevel="0" collapsed="false">
      <c r="A67" s="21" t="s">
        <v>153</v>
      </c>
      <c r="B67" s="3" t="s">
        <v>154</v>
      </c>
      <c r="C67" s="3" t="s">
        <v>155</v>
      </c>
      <c r="D67" s="3" t="n">
        <v>40.7357</v>
      </c>
      <c r="E67" s="3" t="n">
        <v>-74.1724</v>
      </c>
    </row>
    <row r="68" customFormat="false" ht="15" hidden="false" customHeight="false" outlineLevel="0" collapsed="false">
      <c r="A68" s="21" t="s">
        <v>156</v>
      </c>
      <c r="B68" s="3" t="s">
        <v>154</v>
      </c>
      <c r="C68" s="3" t="s">
        <v>155</v>
      </c>
      <c r="D68" s="3" t="n">
        <v>40.7357</v>
      </c>
      <c r="E68" s="3" t="n">
        <v>-74.1724</v>
      </c>
    </row>
    <row r="69" customFormat="false" ht="15" hidden="false" customHeight="false" outlineLevel="0" collapsed="false">
      <c r="A69" s="21" t="s">
        <v>157</v>
      </c>
      <c r="B69" s="3" t="s">
        <v>158</v>
      </c>
      <c r="C69" s="3" t="s">
        <v>155</v>
      </c>
      <c r="D69" s="3" t="n">
        <v>40.664</v>
      </c>
      <c r="E69" s="3" t="n">
        <v>-74.2107</v>
      </c>
    </row>
    <row r="70" customFormat="false" ht="15" hidden="false" customHeight="false" outlineLevel="0" collapsed="false">
      <c r="A70" s="21" t="s">
        <v>159</v>
      </c>
      <c r="B70" s="3" t="s">
        <v>160</v>
      </c>
      <c r="C70" s="3" t="s">
        <v>155</v>
      </c>
      <c r="D70" s="3" t="n">
        <v>40.7282</v>
      </c>
      <c r="E70" s="3" t="n">
        <v>-74.0776</v>
      </c>
    </row>
    <row r="71" customFormat="false" ht="15" hidden="false" customHeight="false" outlineLevel="0" collapsed="false">
      <c r="A71" s="21" t="s">
        <v>161</v>
      </c>
      <c r="B71" s="3" t="s">
        <v>162</v>
      </c>
      <c r="C71" s="3" t="s">
        <v>155</v>
      </c>
      <c r="D71" s="3" t="n">
        <v>40.9168</v>
      </c>
      <c r="E71" s="3" t="n">
        <v>-74.1718</v>
      </c>
    </row>
    <row r="72" customFormat="false" ht="15" hidden="false" customHeight="false" outlineLevel="0" collapsed="false">
      <c r="A72" s="21" t="s">
        <v>163</v>
      </c>
      <c r="B72" s="3" t="s">
        <v>162</v>
      </c>
      <c r="C72" s="3" t="s">
        <v>155</v>
      </c>
      <c r="D72" s="3" t="n">
        <v>40.9168</v>
      </c>
      <c r="E72" s="3" t="n">
        <v>-74.1718</v>
      </c>
    </row>
    <row r="73" customFormat="false" ht="15" hidden="false" customHeight="false" outlineLevel="0" collapsed="false">
      <c r="A73" s="21" t="s">
        <v>164</v>
      </c>
      <c r="B73" s="3" t="s">
        <v>165</v>
      </c>
      <c r="C73" s="3" t="s">
        <v>155</v>
      </c>
      <c r="D73" s="3" t="n">
        <v>40.8859</v>
      </c>
      <c r="E73" s="3" t="n">
        <v>-74.0435</v>
      </c>
    </row>
    <row r="74" customFormat="false" ht="15" hidden="false" customHeight="false" outlineLevel="0" collapsed="false">
      <c r="A74" s="21" t="s">
        <v>166</v>
      </c>
      <c r="B74" s="3" t="s">
        <v>167</v>
      </c>
      <c r="C74" s="3" t="s">
        <v>155</v>
      </c>
      <c r="D74" s="3" t="n">
        <v>40.35</v>
      </c>
      <c r="E74" s="3" t="n">
        <v>-74.06</v>
      </c>
    </row>
    <row r="75" customFormat="false" ht="15" hidden="false" customHeight="false" outlineLevel="0" collapsed="false">
      <c r="A75" s="21" t="s">
        <v>168</v>
      </c>
      <c r="B75" s="3" t="s">
        <v>169</v>
      </c>
      <c r="C75" s="3" t="s">
        <v>155</v>
      </c>
      <c r="D75" s="3" t="n">
        <v>40.88</v>
      </c>
      <c r="E75" s="3" t="n">
        <v>-74.56</v>
      </c>
    </row>
    <row r="76" customFormat="false" ht="15" hidden="false" customHeight="false" outlineLevel="0" collapsed="false">
      <c r="A76" s="21" t="s">
        <v>170</v>
      </c>
      <c r="B76" s="3" t="s">
        <v>171</v>
      </c>
      <c r="C76" s="3" t="s">
        <v>155</v>
      </c>
      <c r="D76" s="3" t="n">
        <v>40.72</v>
      </c>
      <c r="E76" s="3" t="n">
        <v>-74.36</v>
      </c>
    </row>
    <row r="77" customFormat="false" ht="15" hidden="false" customHeight="false" outlineLevel="0" collapsed="false">
      <c r="A77" s="21" t="s">
        <v>172</v>
      </c>
      <c r="B77" s="3" t="s">
        <v>173</v>
      </c>
      <c r="C77" s="3" t="s">
        <v>155</v>
      </c>
      <c r="D77" s="3" t="n">
        <v>39.93</v>
      </c>
      <c r="E77" s="3" t="n">
        <v>-75.03</v>
      </c>
    </row>
    <row r="78" customFormat="false" ht="15" hidden="false" customHeight="false" outlineLevel="0" collapsed="false">
      <c r="A78" s="21" t="s">
        <v>174</v>
      </c>
      <c r="B78" s="3" t="s">
        <v>175</v>
      </c>
      <c r="C78" s="3" t="s">
        <v>155</v>
      </c>
      <c r="D78" s="3" t="n">
        <v>39.9259</v>
      </c>
      <c r="E78" s="3" t="n">
        <v>-75.1196</v>
      </c>
    </row>
    <row r="79" customFormat="false" ht="15" hidden="false" customHeight="false" outlineLevel="0" collapsed="false">
      <c r="A79" s="21" t="s">
        <v>176</v>
      </c>
      <c r="B79" s="3" t="s">
        <v>177</v>
      </c>
      <c r="C79" s="3" t="s">
        <v>155</v>
      </c>
      <c r="D79" s="3" t="n">
        <v>39.3643</v>
      </c>
      <c r="E79" s="3" t="n">
        <v>-74.4229</v>
      </c>
    </row>
    <row r="80" customFormat="false" ht="15" hidden="false" customHeight="false" outlineLevel="0" collapsed="false">
      <c r="A80" s="21" t="s">
        <v>178</v>
      </c>
      <c r="B80" s="3" t="s">
        <v>179</v>
      </c>
      <c r="C80" s="3" t="s">
        <v>155</v>
      </c>
      <c r="D80" s="3" t="n">
        <v>39.43</v>
      </c>
      <c r="E80" s="3" t="n">
        <v>-75.23</v>
      </c>
    </row>
    <row r="81" customFormat="false" ht="15" hidden="false" customHeight="false" outlineLevel="0" collapsed="false">
      <c r="A81" s="21" t="s">
        <v>180</v>
      </c>
      <c r="B81" s="3" t="s">
        <v>177</v>
      </c>
      <c r="C81" s="3" t="s">
        <v>155</v>
      </c>
      <c r="D81" s="3" t="n">
        <v>39.3643</v>
      </c>
      <c r="E81" s="3" t="n">
        <v>-74.4229</v>
      </c>
    </row>
    <row r="82" customFormat="false" ht="15" hidden="false" customHeight="false" outlineLevel="0" collapsed="false">
      <c r="A82" s="21" t="s">
        <v>181</v>
      </c>
      <c r="B82" s="3" t="s">
        <v>182</v>
      </c>
      <c r="C82" s="3" t="s">
        <v>155</v>
      </c>
      <c r="D82" s="3" t="n">
        <v>40.2171</v>
      </c>
      <c r="E82" s="3" t="n">
        <v>-74.7429</v>
      </c>
    </row>
    <row r="83" customFormat="false" ht="15" hidden="false" customHeight="false" outlineLevel="0" collapsed="false">
      <c r="A83" s="21" t="s">
        <v>183</v>
      </c>
      <c r="B83" s="3" t="s">
        <v>182</v>
      </c>
      <c r="C83" s="3" t="s">
        <v>155</v>
      </c>
      <c r="D83" s="3" t="n">
        <v>40.2171</v>
      </c>
      <c r="E83" s="3" t="n">
        <v>-74.7429</v>
      </c>
    </row>
    <row r="84" customFormat="false" ht="15" hidden="false" customHeight="false" outlineLevel="0" collapsed="false">
      <c r="A84" s="21" t="s">
        <v>184</v>
      </c>
      <c r="B84" s="3" t="s">
        <v>185</v>
      </c>
      <c r="C84" s="3" t="s">
        <v>155</v>
      </c>
      <c r="D84" s="3" t="n">
        <v>40.1</v>
      </c>
      <c r="E84" s="3" t="n">
        <v>-74.22</v>
      </c>
    </row>
    <row r="85" customFormat="false" ht="15" hidden="false" customHeight="false" outlineLevel="0" collapsed="false">
      <c r="A85" s="21" t="s">
        <v>186</v>
      </c>
      <c r="B85" s="3" t="s">
        <v>187</v>
      </c>
      <c r="C85" s="3" t="s">
        <v>155</v>
      </c>
      <c r="D85" s="3" t="n">
        <v>40.4862</v>
      </c>
      <c r="E85" s="3" t="n">
        <v>-74.4518</v>
      </c>
    </row>
    <row r="86" customFormat="false" ht="15" hidden="false" customHeight="false" outlineLevel="0" collapsed="false">
      <c r="A86" s="21" t="s">
        <v>188</v>
      </c>
      <c r="B86" s="3" t="s">
        <v>187</v>
      </c>
      <c r="C86" s="3" t="s">
        <v>155</v>
      </c>
      <c r="D86" s="3" t="n">
        <v>40.4862</v>
      </c>
      <c r="E86" s="3" t="n">
        <v>-74.4518</v>
      </c>
    </row>
    <row r="87" customFormat="false" ht="15" hidden="false" customHeight="false" outlineLevel="0" collapsed="false">
      <c r="A87" s="21" t="s">
        <v>189</v>
      </c>
      <c r="B87" s="3" t="s">
        <v>190</v>
      </c>
      <c r="C87" s="3" t="s">
        <v>34</v>
      </c>
      <c r="D87" s="3" t="n">
        <v>40.7128</v>
      </c>
      <c r="E87" s="3" t="n">
        <v>-74.0059</v>
      </c>
    </row>
    <row r="88" customFormat="false" ht="15" hidden="false" customHeight="false" outlineLevel="0" collapsed="false">
      <c r="A88" s="21" t="s">
        <v>191</v>
      </c>
      <c r="B88" s="3" t="s">
        <v>190</v>
      </c>
      <c r="C88" s="3" t="s">
        <v>34</v>
      </c>
      <c r="D88" s="3" t="n">
        <v>40.7128</v>
      </c>
      <c r="E88" s="3" t="n">
        <v>-74.0059</v>
      </c>
    </row>
    <row r="89" customFormat="false" ht="15" hidden="false" customHeight="false" outlineLevel="0" collapsed="false">
      <c r="A89" s="21" t="s">
        <v>192</v>
      </c>
      <c r="B89" s="3" t="s">
        <v>190</v>
      </c>
      <c r="C89" s="3" t="s">
        <v>34</v>
      </c>
      <c r="D89" s="3" t="n">
        <v>40.7128</v>
      </c>
      <c r="E89" s="3" t="n">
        <v>-74.0059</v>
      </c>
    </row>
    <row r="90" customFormat="false" ht="15" hidden="false" customHeight="false" outlineLevel="0" collapsed="false">
      <c r="A90" s="21" t="s">
        <v>193</v>
      </c>
      <c r="B90" s="3" t="s">
        <v>194</v>
      </c>
      <c r="C90" s="3" t="s">
        <v>34</v>
      </c>
      <c r="D90" s="3" t="n">
        <v>40.58</v>
      </c>
      <c r="E90" s="3" t="n">
        <v>-74.15</v>
      </c>
    </row>
    <row r="91" customFormat="false" ht="15" hidden="false" customHeight="false" outlineLevel="0" collapsed="false">
      <c r="A91" s="21" t="s">
        <v>195</v>
      </c>
      <c r="B91" s="3" t="s">
        <v>196</v>
      </c>
      <c r="C91" s="3" t="s">
        <v>34</v>
      </c>
      <c r="D91" s="3" t="n">
        <v>40.84</v>
      </c>
      <c r="E91" s="3" t="n">
        <v>-73.87</v>
      </c>
    </row>
    <row r="92" customFormat="false" ht="15" hidden="false" customHeight="false" outlineLevel="0" collapsed="false">
      <c r="A92" s="21" t="s">
        <v>197</v>
      </c>
      <c r="B92" s="3" t="s">
        <v>198</v>
      </c>
      <c r="C92" s="3" t="s">
        <v>34</v>
      </c>
      <c r="D92" s="3" t="n">
        <v>41.034</v>
      </c>
      <c r="E92" s="3" t="n">
        <v>-73.7629</v>
      </c>
    </row>
    <row r="93" customFormat="false" ht="15" hidden="false" customHeight="false" outlineLevel="0" collapsed="false">
      <c r="A93" s="21" t="s">
        <v>199</v>
      </c>
      <c r="B93" s="3" t="s">
        <v>198</v>
      </c>
      <c r="C93" s="3" t="s">
        <v>34</v>
      </c>
      <c r="D93" s="3" t="n">
        <v>41.034</v>
      </c>
      <c r="E93" s="3" t="n">
        <v>-73.7629</v>
      </c>
    </row>
    <row r="94" customFormat="false" ht="15" hidden="false" customHeight="false" outlineLevel="0" collapsed="false">
      <c r="A94" s="21" t="s">
        <v>200</v>
      </c>
      <c r="B94" s="3" t="s">
        <v>201</v>
      </c>
      <c r="C94" s="3" t="s">
        <v>34</v>
      </c>
      <c r="D94" s="3" t="n">
        <v>40.9312</v>
      </c>
      <c r="E94" s="3" t="n">
        <v>-73.8987</v>
      </c>
    </row>
    <row r="95" customFormat="false" ht="15" hidden="false" customHeight="false" outlineLevel="0" collapsed="false">
      <c r="A95" s="21" t="s">
        <v>202</v>
      </c>
      <c r="B95" s="3" t="s">
        <v>203</v>
      </c>
      <c r="C95" s="3" t="s">
        <v>34</v>
      </c>
      <c r="D95" s="3" t="n">
        <v>40.9115</v>
      </c>
      <c r="E95" s="3" t="n">
        <v>-73.7824</v>
      </c>
    </row>
    <row r="96" customFormat="false" ht="15" hidden="false" customHeight="false" outlineLevel="0" collapsed="false">
      <c r="A96" s="21" t="s">
        <v>204</v>
      </c>
      <c r="B96" s="3" t="s">
        <v>205</v>
      </c>
      <c r="C96" s="3" t="s">
        <v>34</v>
      </c>
      <c r="D96" s="3" t="n">
        <v>41.11</v>
      </c>
      <c r="E96" s="3" t="n">
        <v>-74.15</v>
      </c>
    </row>
    <row r="97" customFormat="false" ht="15" hidden="false" customHeight="false" outlineLevel="0" collapsed="false">
      <c r="A97" s="21" t="s">
        <v>206</v>
      </c>
      <c r="B97" s="3" t="s">
        <v>207</v>
      </c>
      <c r="C97" s="3" t="s">
        <v>34</v>
      </c>
      <c r="D97" s="3" t="n">
        <v>40.72</v>
      </c>
      <c r="E97" s="3" t="n">
        <v>-73.7</v>
      </c>
    </row>
    <row r="98" customFormat="false" ht="15" hidden="false" customHeight="false" outlineLevel="0" collapsed="false">
      <c r="A98" s="21" t="s">
        <v>208</v>
      </c>
      <c r="B98" s="3" t="s">
        <v>209</v>
      </c>
      <c r="C98" s="3" t="s">
        <v>34</v>
      </c>
      <c r="D98" s="3" t="n">
        <v>40.75</v>
      </c>
      <c r="E98" s="3" t="n">
        <v>-73.94</v>
      </c>
    </row>
    <row r="99" customFormat="false" ht="15" hidden="false" customHeight="false" outlineLevel="0" collapsed="false">
      <c r="A99" s="21" t="s">
        <v>210</v>
      </c>
      <c r="B99" s="3" t="s">
        <v>211</v>
      </c>
      <c r="C99" s="3" t="s">
        <v>34</v>
      </c>
      <c r="D99" s="3" t="n">
        <v>40.65</v>
      </c>
      <c r="E99" s="3" t="n">
        <v>-73.95</v>
      </c>
    </row>
    <row r="100" customFormat="false" ht="15" hidden="false" customHeight="false" outlineLevel="0" collapsed="false">
      <c r="A100" s="21" t="s">
        <v>212</v>
      </c>
      <c r="B100" s="3" t="s">
        <v>213</v>
      </c>
      <c r="C100" s="3" t="s">
        <v>34</v>
      </c>
      <c r="D100" s="3" t="n">
        <v>40.76</v>
      </c>
      <c r="E100" s="3" t="n">
        <v>-73.83</v>
      </c>
    </row>
    <row r="101" customFormat="false" ht="15" hidden="false" customHeight="false" outlineLevel="0" collapsed="false">
      <c r="A101" s="21" t="s">
        <v>214</v>
      </c>
      <c r="B101" s="3" t="s">
        <v>215</v>
      </c>
      <c r="C101" s="3" t="s">
        <v>34</v>
      </c>
      <c r="D101" s="3" t="n">
        <v>40.7</v>
      </c>
      <c r="E101" s="3" t="n">
        <v>-73.81</v>
      </c>
    </row>
    <row r="102" customFormat="false" ht="15" hidden="false" customHeight="false" outlineLevel="0" collapsed="false">
      <c r="A102" s="21" t="s">
        <v>216</v>
      </c>
      <c r="B102" s="3" t="s">
        <v>217</v>
      </c>
      <c r="C102" s="3" t="s">
        <v>34</v>
      </c>
      <c r="D102" s="3" t="n">
        <v>40.75</v>
      </c>
      <c r="E102" s="3" t="n">
        <v>-73.64</v>
      </c>
    </row>
    <row r="103" customFormat="false" ht="15" hidden="false" customHeight="false" outlineLevel="0" collapsed="false">
      <c r="A103" s="21" t="s">
        <v>218</v>
      </c>
      <c r="B103" s="3" t="s">
        <v>219</v>
      </c>
      <c r="C103" s="3" t="s">
        <v>34</v>
      </c>
      <c r="D103" s="3" t="n">
        <v>40.6</v>
      </c>
      <c r="E103" s="3" t="n">
        <v>-73.75</v>
      </c>
    </row>
    <row r="104" customFormat="false" ht="15" hidden="false" customHeight="false" outlineLevel="0" collapsed="false">
      <c r="A104" s="21" t="s">
        <v>220</v>
      </c>
      <c r="B104" s="3" t="s">
        <v>221</v>
      </c>
      <c r="C104" s="3" t="s">
        <v>34</v>
      </c>
      <c r="D104" s="3" t="n">
        <v>40.68</v>
      </c>
      <c r="E104" s="3" t="n">
        <v>-73.42</v>
      </c>
    </row>
    <row r="105" customFormat="false" ht="15" hidden="false" customHeight="false" outlineLevel="0" collapsed="false">
      <c r="A105" s="21" t="s">
        <v>222</v>
      </c>
      <c r="B105" s="3" t="s">
        <v>223</v>
      </c>
      <c r="C105" s="3" t="s">
        <v>34</v>
      </c>
      <c r="D105" s="3" t="n">
        <v>40.77</v>
      </c>
      <c r="E105" s="3" t="n">
        <v>-73.52</v>
      </c>
    </row>
    <row r="106" customFormat="false" ht="15" hidden="false" customHeight="false" outlineLevel="0" collapsed="false">
      <c r="A106" s="21" t="s">
        <v>224</v>
      </c>
      <c r="B106" s="3" t="s">
        <v>225</v>
      </c>
      <c r="C106" s="3" t="s">
        <v>34</v>
      </c>
      <c r="D106" s="3" t="n">
        <v>40.92</v>
      </c>
      <c r="E106" s="3" t="n">
        <v>-72.66</v>
      </c>
    </row>
    <row r="107" customFormat="false" ht="15" hidden="false" customHeight="false" outlineLevel="0" collapsed="false">
      <c r="A107" s="21" t="s">
        <v>226</v>
      </c>
      <c r="B107" s="3" t="s">
        <v>227</v>
      </c>
      <c r="C107" s="3" t="s">
        <v>34</v>
      </c>
      <c r="D107" s="3" t="n">
        <v>42.6526</v>
      </c>
      <c r="E107" s="3" t="n">
        <v>-73.7562</v>
      </c>
    </row>
    <row r="108" customFormat="false" ht="15" hidden="false" customHeight="false" outlineLevel="0" collapsed="false">
      <c r="A108" s="21" t="s">
        <v>228</v>
      </c>
      <c r="B108" s="3" t="s">
        <v>227</v>
      </c>
      <c r="C108" s="3" t="s">
        <v>34</v>
      </c>
      <c r="D108" s="3" t="n">
        <v>42.6526</v>
      </c>
      <c r="E108" s="3" t="n">
        <v>-73.7562</v>
      </c>
    </row>
    <row r="109" customFormat="false" ht="15" hidden="false" customHeight="false" outlineLevel="0" collapsed="false">
      <c r="A109" s="21" t="s">
        <v>229</v>
      </c>
      <c r="B109" s="3" t="s">
        <v>227</v>
      </c>
      <c r="C109" s="3" t="s">
        <v>34</v>
      </c>
      <c r="D109" s="3" t="n">
        <v>42.6526</v>
      </c>
      <c r="E109" s="3" t="n">
        <v>-73.7562</v>
      </c>
    </row>
    <row r="110" customFormat="false" ht="15" hidden="false" customHeight="false" outlineLevel="0" collapsed="false">
      <c r="A110" s="21" t="s">
        <v>230</v>
      </c>
      <c r="B110" s="3" t="s">
        <v>231</v>
      </c>
      <c r="C110" s="3" t="s">
        <v>34</v>
      </c>
      <c r="D110" s="3" t="n">
        <v>42.8142</v>
      </c>
      <c r="E110" s="3" t="n">
        <v>-73.9396</v>
      </c>
    </row>
    <row r="111" customFormat="false" ht="15" hidden="false" customHeight="false" outlineLevel="0" collapsed="false">
      <c r="A111" s="21" t="s">
        <v>232</v>
      </c>
      <c r="B111" s="3" t="s">
        <v>233</v>
      </c>
      <c r="C111" s="3" t="s">
        <v>34</v>
      </c>
      <c r="D111" s="3" t="n">
        <v>41.93</v>
      </c>
      <c r="E111" s="3" t="n">
        <v>-74</v>
      </c>
    </row>
    <row r="112" customFormat="false" ht="15" hidden="false" customHeight="false" outlineLevel="0" collapsed="false">
      <c r="A112" s="21" t="s">
        <v>234</v>
      </c>
      <c r="B112" s="3" t="s">
        <v>235</v>
      </c>
      <c r="C112" s="3" t="s">
        <v>34</v>
      </c>
      <c r="D112" s="3" t="n">
        <v>41.7</v>
      </c>
      <c r="E112" s="3" t="n">
        <v>-73.92</v>
      </c>
    </row>
    <row r="113" customFormat="false" ht="15" hidden="false" customHeight="false" outlineLevel="0" collapsed="false">
      <c r="A113" s="21" t="s">
        <v>236</v>
      </c>
      <c r="B113" s="3" t="s">
        <v>235</v>
      </c>
      <c r="C113" s="3" t="s">
        <v>34</v>
      </c>
      <c r="D113" s="3" t="n">
        <v>41.7</v>
      </c>
      <c r="E113" s="3" t="n">
        <v>-73.92</v>
      </c>
    </row>
    <row r="114" customFormat="false" ht="15" hidden="false" customHeight="false" outlineLevel="0" collapsed="false">
      <c r="A114" s="21" t="s">
        <v>237</v>
      </c>
      <c r="B114" s="3" t="s">
        <v>238</v>
      </c>
      <c r="C114" s="3" t="s">
        <v>34</v>
      </c>
      <c r="D114" s="3" t="n">
        <v>41.66</v>
      </c>
      <c r="E114" s="3" t="n">
        <v>-74.69</v>
      </c>
    </row>
    <row r="115" customFormat="false" ht="15" hidden="false" customHeight="false" outlineLevel="0" collapsed="false">
      <c r="A115" s="21" t="s">
        <v>239</v>
      </c>
      <c r="B115" s="3" t="s">
        <v>240</v>
      </c>
      <c r="C115" s="3" t="s">
        <v>34</v>
      </c>
      <c r="D115" s="3" t="n">
        <v>43.31</v>
      </c>
      <c r="E115" s="3" t="n">
        <v>-73.64</v>
      </c>
    </row>
    <row r="116" customFormat="false" ht="15" hidden="false" customHeight="false" outlineLevel="0" collapsed="false">
      <c r="A116" s="21" t="s">
        <v>241</v>
      </c>
      <c r="B116" s="3" t="s">
        <v>242</v>
      </c>
      <c r="C116" s="3" t="s">
        <v>34</v>
      </c>
      <c r="D116" s="3" t="n">
        <v>44.7</v>
      </c>
      <c r="E116" s="3" t="n">
        <v>-73.45</v>
      </c>
    </row>
    <row r="117" customFormat="false" ht="15" hidden="false" customHeight="false" outlineLevel="0" collapsed="false">
      <c r="A117" s="21" t="s">
        <v>243</v>
      </c>
      <c r="B117" s="3" t="s">
        <v>244</v>
      </c>
      <c r="C117" s="3" t="s">
        <v>34</v>
      </c>
      <c r="D117" s="3" t="n">
        <v>43.0481</v>
      </c>
      <c r="E117" s="3" t="n">
        <v>-76.1474</v>
      </c>
    </row>
    <row r="118" customFormat="false" ht="15" hidden="false" customHeight="false" outlineLevel="0" collapsed="false">
      <c r="A118" s="21" t="s">
        <v>245</v>
      </c>
      <c r="B118" s="3" t="s">
        <v>244</v>
      </c>
      <c r="C118" s="3" t="s">
        <v>34</v>
      </c>
      <c r="D118" s="3" t="n">
        <v>43.0481</v>
      </c>
      <c r="E118" s="3" t="n">
        <v>-76.1474</v>
      </c>
    </row>
    <row r="119" customFormat="false" ht="15" hidden="false" customHeight="false" outlineLevel="0" collapsed="false">
      <c r="A119" s="21" t="s">
        <v>246</v>
      </c>
      <c r="B119" s="3" t="s">
        <v>244</v>
      </c>
      <c r="C119" s="3" t="s">
        <v>34</v>
      </c>
      <c r="D119" s="3" t="n">
        <v>43.0481</v>
      </c>
      <c r="E119" s="3" t="n">
        <v>-76.1474</v>
      </c>
    </row>
    <row r="120" customFormat="false" ht="15" hidden="false" customHeight="false" outlineLevel="0" collapsed="false">
      <c r="A120" s="21" t="s">
        <v>247</v>
      </c>
      <c r="B120" s="3" t="s">
        <v>248</v>
      </c>
      <c r="C120" s="3" t="s">
        <v>34</v>
      </c>
      <c r="D120" s="3" t="n">
        <v>43.1009</v>
      </c>
      <c r="E120" s="3" t="n">
        <v>-75.2327</v>
      </c>
    </row>
    <row r="121" customFormat="false" ht="15" hidden="false" customHeight="false" outlineLevel="0" collapsed="false">
      <c r="A121" s="21" t="s">
        <v>249</v>
      </c>
      <c r="B121" s="3" t="s">
        <v>248</v>
      </c>
      <c r="C121" s="3" t="s">
        <v>34</v>
      </c>
      <c r="D121" s="3" t="n">
        <v>43.1009</v>
      </c>
      <c r="E121" s="3" t="n">
        <v>-75.2327</v>
      </c>
    </row>
    <row r="122" customFormat="false" ht="15" hidden="false" customHeight="false" outlineLevel="0" collapsed="false">
      <c r="A122" s="21" t="s">
        <v>250</v>
      </c>
      <c r="B122" s="3" t="s">
        <v>248</v>
      </c>
      <c r="C122" s="3" t="s">
        <v>34</v>
      </c>
      <c r="D122" s="3" t="n">
        <v>43.1009</v>
      </c>
      <c r="E122" s="3" t="n">
        <v>-75.2327</v>
      </c>
    </row>
    <row r="123" customFormat="false" ht="15" hidden="false" customHeight="false" outlineLevel="0" collapsed="false">
      <c r="A123" s="21" t="s">
        <v>251</v>
      </c>
      <c r="B123" s="3" t="s">
        <v>252</v>
      </c>
      <c r="C123" s="3" t="s">
        <v>34</v>
      </c>
      <c r="D123" s="3" t="n">
        <v>43.97</v>
      </c>
      <c r="E123" s="3" t="n">
        <v>-75.91</v>
      </c>
    </row>
    <row r="124" customFormat="false" ht="15" hidden="false" customHeight="false" outlineLevel="0" collapsed="false">
      <c r="A124" s="21" t="s">
        <v>253</v>
      </c>
      <c r="B124" s="3" t="s">
        <v>254</v>
      </c>
      <c r="C124" s="3" t="s">
        <v>34</v>
      </c>
      <c r="D124" s="3" t="n">
        <v>42.0987</v>
      </c>
      <c r="E124" s="3" t="n">
        <v>-75.918</v>
      </c>
    </row>
    <row r="125" customFormat="false" ht="15" hidden="false" customHeight="false" outlineLevel="0" collapsed="false">
      <c r="A125" s="21" t="s">
        <v>255</v>
      </c>
      <c r="B125" s="3" t="s">
        <v>254</v>
      </c>
      <c r="C125" s="3" t="s">
        <v>34</v>
      </c>
      <c r="D125" s="3" t="n">
        <v>42.0987</v>
      </c>
      <c r="E125" s="3" t="n">
        <v>-75.918</v>
      </c>
    </row>
    <row r="126" customFormat="false" ht="15" hidden="false" customHeight="false" outlineLevel="0" collapsed="false">
      <c r="A126" s="21" t="s">
        <v>256</v>
      </c>
      <c r="B126" s="3" t="s">
        <v>254</v>
      </c>
      <c r="C126" s="3" t="s">
        <v>34</v>
      </c>
      <c r="D126" s="3" t="n">
        <v>42.0987</v>
      </c>
      <c r="E126" s="3" t="n">
        <v>-75.918</v>
      </c>
    </row>
    <row r="127" customFormat="false" ht="15" hidden="false" customHeight="false" outlineLevel="0" collapsed="false">
      <c r="A127" s="21" t="s">
        <v>257</v>
      </c>
      <c r="B127" s="3" t="s">
        <v>258</v>
      </c>
      <c r="C127" s="3" t="s">
        <v>34</v>
      </c>
      <c r="D127" s="3" t="n">
        <v>42.8864</v>
      </c>
      <c r="E127" s="3" t="n">
        <v>-78.8784</v>
      </c>
    </row>
    <row r="128" customFormat="false" ht="15" hidden="false" customHeight="false" outlineLevel="0" collapsed="false">
      <c r="A128" s="21" t="s">
        <v>259</v>
      </c>
      <c r="B128" s="3" t="s">
        <v>258</v>
      </c>
      <c r="C128" s="3" t="s">
        <v>34</v>
      </c>
      <c r="D128" s="3" t="n">
        <v>42.8864</v>
      </c>
      <c r="E128" s="3" t="n">
        <v>-78.8784</v>
      </c>
    </row>
    <row r="129" customFormat="false" ht="15" hidden="false" customHeight="false" outlineLevel="0" collapsed="false">
      <c r="A129" s="21" t="s">
        <v>260</v>
      </c>
      <c r="B129" s="3" t="s">
        <v>258</v>
      </c>
      <c r="C129" s="3" t="s">
        <v>34</v>
      </c>
      <c r="D129" s="3" t="n">
        <v>42.8864</v>
      </c>
      <c r="E129" s="3" t="n">
        <v>-78.8784</v>
      </c>
    </row>
    <row r="130" customFormat="false" ht="15" hidden="false" customHeight="false" outlineLevel="0" collapsed="false">
      <c r="A130" s="21" t="s">
        <v>261</v>
      </c>
      <c r="B130" s="3" t="s">
        <v>262</v>
      </c>
      <c r="C130" s="3" t="s">
        <v>34</v>
      </c>
      <c r="D130" s="3" t="n">
        <v>43.0962</v>
      </c>
      <c r="E130" s="3" t="n">
        <v>-79.0377</v>
      </c>
    </row>
    <row r="131" customFormat="false" ht="15" hidden="false" customHeight="false" outlineLevel="0" collapsed="false">
      <c r="A131" s="21" t="s">
        <v>263</v>
      </c>
      <c r="B131" s="3" t="s">
        <v>264</v>
      </c>
      <c r="C131" s="3" t="s">
        <v>34</v>
      </c>
      <c r="D131" s="3" t="n">
        <v>43.161</v>
      </c>
      <c r="E131" s="3" t="n">
        <v>-77.6109</v>
      </c>
    </row>
    <row r="132" customFormat="false" ht="15" hidden="false" customHeight="false" outlineLevel="0" collapsed="false">
      <c r="A132" s="21" t="s">
        <v>265</v>
      </c>
      <c r="B132" s="3" t="s">
        <v>264</v>
      </c>
      <c r="C132" s="3" t="s">
        <v>34</v>
      </c>
      <c r="D132" s="3" t="n">
        <v>43.161</v>
      </c>
      <c r="E132" s="3" t="n">
        <v>-77.6109</v>
      </c>
    </row>
    <row r="133" customFormat="false" ht="15" hidden="false" customHeight="false" outlineLevel="0" collapsed="false">
      <c r="A133" s="21" t="s">
        <v>266</v>
      </c>
      <c r="B133" s="3" t="s">
        <v>264</v>
      </c>
      <c r="C133" s="3" t="s">
        <v>34</v>
      </c>
      <c r="D133" s="3" t="n">
        <v>43.161</v>
      </c>
      <c r="E133" s="3" t="n">
        <v>-77.6109</v>
      </c>
    </row>
    <row r="134" customFormat="false" ht="15" hidden="false" customHeight="false" outlineLevel="0" collapsed="false">
      <c r="A134" s="21" t="s">
        <v>267</v>
      </c>
      <c r="B134" s="3" t="s">
        <v>268</v>
      </c>
      <c r="C134" s="3" t="s">
        <v>34</v>
      </c>
      <c r="D134" s="3" t="n">
        <v>42.1</v>
      </c>
      <c r="E134" s="3" t="n">
        <v>-79.24</v>
      </c>
    </row>
    <row r="135" customFormat="false" ht="15" hidden="false" customHeight="false" outlineLevel="0" collapsed="false">
      <c r="A135" s="21" t="s">
        <v>269</v>
      </c>
      <c r="B135" s="3" t="s">
        <v>270</v>
      </c>
      <c r="C135" s="3" t="s">
        <v>34</v>
      </c>
      <c r="D135" s="3" t="n">
        <v>42.09</v>
      </c>
      <c r="E135" s="3" t="n">
        <v>-76.81</v>
      </c>
    </row>
    <row r="136" customFormat="false" ht="15" hidden="false" customHeight="false" outlineLevel="0" collapsed="false">
      <c r="A136" s="21" t="s">
        <v>271</v>
      </c>
      <c r="B136" s="3" t="s">
        <v>270</v>
      </c>
      <c r="C136" s="3" t="s">
        <v>34</v>
      </c>
      <c r="D136" s="3" t="n">
        <v>42.09</v>
      </c>
      <c r="E136" s="3" t="n">
        <v>-76.81</v>
      </c>
    </row>
    <row r="137" customFormat="false" ht="15" hidden="false" customHeight="false" outlineLevel="0" collapsed="false">
      <c r="A137" s="21" t="s">
        <v>272</v>
      </c>
      <c r="B137" s="3" t="s">
        <v>273</v>
      </c>
      <c r="C137" s="3" t="s">
        <v>274</v>
      </c>
      <c r="D137" s="3" t="n">
        <v>40.4406</v>
      </c>
      <c r="E137" s="3" t="n">
        <v>-79.9959</v>
      </c>
    </row>
    <row r="138" customFormat="false" ht="15" hidden="false" customHeight="false" outlineLevel="0" collapsed="false">
      <c r="A138" s="21" t="s">
        <v>275</v>
      </c>
      <c r="B138" s="3" t="s">
        <v>273</v>
      </c>
      <c r="C138" s="3" t="s">
        <v>274</v>
      </c>
      <c r="D138" s="3" t="n">
        <v>40.4406</v>
      </c>
      <c r="E138" s="3" t="n">
        <v>-79.9959</v>
      </c>
    </row>
    <row r="139" customFormat="false" ht="15" hidden="false" customHeight="false" outlineLevel="0" collapsed="false">
      <c r="A139" s="21" t="s">
        <v>276</v>
      </c>
      <c r="B139" s="3" t="s">
        <v>273</v>
      </c>
      <c r="C139" s="3" t="s">
        <v>274</v>
      </c>
      <c r="D139" s="3" t="n">
        <v>40.4406</v>
      </c>
      <c r="E139" s="3" t="n">
        <v>-79.9959</v>
      </c>
    </row>
    <row r="140" customFormat="false" ht="15" hidden="false" customHeight="false" outlineLevel="0" collapsed="false">
      <c r="A140" s="21" t="s">
        <v>277</v>
      </c>
      <c r="B140" s="3" t="s">
        <v>278</v>
      </c>
      <c r="C140" s="3" t="s">
        <v>274</v>
      </c>
      <c r="D140" s="3" t="n">
        <v>40.17</v>
      </c>
      <c r="E140" s="3" t="n">
        <v>-80.25</v>
      </c>
    </row>
    <row r="141" customFormat="false" ht="15" hidden="false" customHeight="false" outlineLevel="0" collapsed="false">
      <c r="A141" s="21" t="s">
        <v>279</v>
      </c>
      <c r="B141" s="3" t="s">
        <v>280</v>
      </c>
      <c r="C141" s="3" t="s">
        <v>274</v>
      </c>
      <c r="D141" s="3" t="n">
        <v>39.9</v>
      </c>
      <c r="E141" s="3" t="n">
        <v>-79.72</v>
      </c>
    </row>
    <row r="142" customFormat="false" ht="15" hidden="false" customHeight="false" outlineLevel="0" collapsed="false">
      <c r="A142" s="21" t="s">
        <v>281</v>
      </c>
      <c r="B142" s="3" t="s">
        <v>282</v>
      </c>
      <c r="C142" s="3" t="s">
        <v>274</v>
      </c>
      <c r="D142" s="3" t="n">
        <v>40.01</v>
      </c>
      <c r="E142" s="3" t="n">
        <v>-79.08</v>
      </c>
    </row>
    <row r="143" customFormat="false" ht="15" hidden="false" customHeight="false" outlineLevel="0" collapsed="false">
      <c r="A143" s="21" t="s">
        <v>283</v>
      </c>
      <c r="B143" s="3" t="s">
        <v>284</v>
      </c>
      <c r="C143" s="3" t="s">
        <v>274</v>
      </c>
      <c r="D143" s="3" t="n">
        <v>40.3</v>
      </c>
      <c r="E143" s="3" t="n">
        <v>-79.54</v>
      </c>
    </row>
    <row r="144" customFormat="false" ht="15" hidden="false" customHeight="false" outlineLevel="0" collapsed="false">
      <c r="A144" s="21" t="s">
        <v>285</v>
      </c>
      <c r="B144" s="3" t="s">
        <v>286</v>
      </c>
      <c r="C144" s="3" t="s">
        <v>274</v>
      </c>
      <c r="D144" s="3" t="n">
        <v>40.62</v>
      </c>
      <c r="E144" s="3" t="n">
        <v>-79.15</v>
      </c>
    </row>
    <row r="145" customFormat="false" ht="15" hidden="false" customHeight="false" outlineLevel="0" collapsed="false">
      <c r="A145" s="21" t="s">
        <v>287</v>
      </c>
      <c r="B145" s="3" t="s">
        <v>288</v>
      </c>
      <c r="C145" s="3" t="s">
        <v>274</v>
      </c>
      <c r="D145" s="3" t="n">
        <v>41.12</v>
      </c>
      <c r="E145" s="3" t="n">
        <v>-78.76</v>
      </c>
    </row>
    <row r="146" customFormat="false" ht="15" hidden="false" customHeight="false" outlineLevel="0" collapsed="false">
      <c r="A146" s="21" t="s">
        <v>289</v>
      </c>
      <c r="B146" s="3" t="s">
        <v>290</v>
      </c>
      <c r="C146" s="3" t="s">
        <v>274</v>
      </c>
      <c r="D146" s="3" t="n">
        <v>40.33</v>
      </c>
      <c r="E146" s="3" t="n">
        <v>-78.92</v>
      </c>
    </row>
    <row r="147" customFormat="false" ht="15" hidden="false" customHeight="false" outlineLevel="0" collapsed="false">
      <c r="A147" s="21" t="s">
        <v>291</v>
      </c>
      <c r="B147" s="3" t="s">
        <v>292</v>
      </c>
      <c r="C147" s="3" t="s">
        <v>274</v>
      </c>
      <c r="D147" s="3" t="n">
        <v>40.86</v>
      </c>
      <c r="E147" s="3" t="n">
        <v>-79.9</v>
      </c>
    </row>
    <row r="148" customFormat="false" ht="15" hidden="false" customHeight="false" outlineLevel="0" collapsed="false">
      <c r="A148" s="21" t="s">
        <v>293</v>
      </c>
      <c r="B148" s="3" t="s">
        <v>294</v>
      </c>
      <c r="C148" s="3" t="s">
        <v>274</v>
      </c>
      <c r="D148" s="3" t="n">
        <v>41</v>
      </c>
      <c r="E148" s="3" t="n">
        <v>-80.35</v>
      </c>
    </row>
    <row r="149" customFormat="false" ht="15" hidden="false" customHeight="false" outlineLevel="0" collapsed="false">
      <c r="A149" s="21" t="s">
        <v>295</v>
      </c>
      <c r="B149" s="3" t="s">
        <v>296</v>
      </c>
      <c r="C149" s="3" t="s">
        <v>274</v>
      </c>
      <c r="D149" s="3" t="n">
        <v>40.82</v>
      </c>
      <c r="E149" s="3" t="n">
        <v>-79.52</v>
      </c>
    </row>
    <row r="150" customFormat="false" ht="15" hidden="false" customHeight="false" outlineLevel="0" collapsed="false">
      <c r="A150" s="21" t="s">
        <v>297</v>
      </c>
      <c r="B150" s="3" t="s">
        <v>298</v>
      </c>
      <c r="C150" s="3" t="s">
        <v>274</v>
      </c>
      <c r="D150" s="3" t="n">
        <v>41.43</v>
      </c>
      <c r="E150" s="3" t="n">
        <v>-79.71</v>
      </c>
    </row>
    <row r="151" customFormat="false" ht="15" hidden="false" customHeight="false" outlineLevel="0" collapsed="false">
      <c r="A151" s="21" t="s">
        <v>299</v>
      </c>
      <c r="B151" s="3" t="s">
        <v>300</v>
      </c>
      <c r="C151" s="3" t="s">
        <v>274</v>
      </c>
      <c r="D151" s="3" t="n">
        <v>42.1292</v>
      </c>
      <c r="E151" s="3" t="n">
        <v>-80.0851</v>
      </c>
    </row>
    <row r="152" customFormat="false" ht="15" hidden="false" customHeight="false" outlineLevel="0" collapsed="false">
      <c r="A152" s="21" t="s">
        <v>301</v>
      </c>
      <c r="B152" s="3" t="s">
        <v>300</v>
      </c>
      <c r="C152" s="3" t="s">
        <v>274</v>
      </c>
      <c r="D152" s="3" t="n">
        <v>42.1292</v>
      </c>
      <c r="E152" s="3" t="n">
        <v>-80.0851</v>
      </c>
    </row>
    <row r="153" customFormat="false" ht="15" hidden="false" customHeight="false" outlineLevel="0" collapsed="false">
      <c r="A153" s="21" t="s">
        <v>302</v>
      </c>
      <c r="B153" s="3" t="s">
        <v>303</v>
      </c>
      <c r="C153" s="3" t="s">
        <v>274</v>
      </c>
      <c r="D153" s="3" t="n">
        <v>40.5187</v>
      </c>
      <c r="E153" s="3" t="n">
        <v>-78.3947</v>
      </c>
    </row>
    <row r="154" customFormat="false" ht="15" hidden="false" customHeight="false" outlineLevel="0" collapsed="false">
      <c r="A154" s="21" t="s">
        <v>304</v>
      </c>
      <c r="B154" s="3" t="s">
        <v>305</v>
      </c>
      <c r="C154" s="3" t="s">
        <v>274</v>
      </c>
      <c r="D154" s="3" t="n">
        <v>41.96</v>
      </c>
      <c r="E154" s="3" t="n">
        <v>-78.64</v>
      </c>
    </row>
    <row r="155" customFormat="false" ht="15" hidden="false" customHeight="false" outlineLevel="0" collapsed="false">
      <c r="A155" s="21" t="s">
        <v>306</v>
      </c>
      <c r="B155" s="3" t="s">
        <v>307</v>
      </c>
      <c r="C155" s="3" t="s">
        <v>274</v>
      </c>
      <c r="D155" s="3" t="n">
        <v>40.7934</v>
      </c>
      <c r="E155" s="3" t="n">
        <v>-77.86</v>
      </c>
    </row>
    <row r="156" customFormat="false" ht="15" hidden="false" customHeight="false" outlineLevel="0" collapsed="false">
      <c r="A156" s="21" t="s">
        <v>308</v>
      </c>
      <c r="B156" s="3" t="s">
        <v>309</v>
      </c>
      <c r="C156" s="3" t="s">
        <v>274</v>
      </c>
      <c r="D156" s="3" t="n">
        <v>41.75</v>
      </c>
      <c r="E156" s="3" t="n">
        <v>-77.3</v>
      </c>
    </row>
    <row r="157" customFormat="false" ht="15" hidden="false" customHeight="false" outlineLevel="0" collapsed="false">
      <c r="A157" s="21" t="s">
        <v>310</v>
      </c>
      <c r="B157" s="3" t="s">
        <v>311</v>
      </c>
      <c r="C157" s="3" t="s">
        <v>274</v>
      </c>
      <c r="D157" s="3" t="n">
        <v>40.2732</v>
      </c>
      <c r="E157" s="3" t="n">
        <v>-76.8867</v>
      </c>
    </row>
    <row r="158" customFormat="false" ht="15" hidden="false" customHeight="false" outlineLevel="0" collapsed="false">
      <c r="A158" s="21" t="s">
        <v>312</v>
      </c>
      <c r="B158" s="3" t="s">
        <v>311</v>
      </c>
      <c r="C158" s="3" t="s">
        <v>274</v>
      </c>
      <c r="D158" s="3" t="n">
        <v>40.2732</v>
      </c>
      <c r="E158" s="3" t="n">
        <v>-76.8867</v>
      </c>
    </row>
    <row r="159" customFormat="false" ht="15" hidden="false" customHeight="false" outlineLevel="0" collapsed="false">
      <c r="A159" s="21" t="s">
        <v>313</v>
      </c>
      <c r="B159" s="3" t="s">
        <v>314</v>
      </c>
      <c r="C159" s="3" t="s">
        <v>274</v>
      </c>
      <c r="D159" s="3" t="n">
        <v>39.94</v>
      </c>
      <c r="E159" s="3" t="n">
        <v>-77.66</v>
      </c>
    </row>
    <row r="160" customFormat="false" ht="15" hidden="false" customHeight="false" outlineLevel="0" collapsed="false">
      <c r="A160" s="21" t="s">
        <v>315</v>
      </c>
      <c r="B160" s="3" t="s">
        <v>316</v>
      </c>
      <c r="C160" s="3" t="s">
        <v>274</v>
      </c>
      <c r="D160" s="3" t="n">
        <v>39.9626</v>
      </c>
      <c r="E160" s="3" t="n">
        <v>-76.7277</v>
      </c>
    </row>
    <row r="161" customFormat="false" ht="15" hidden="false" customHeight="false" outlineLevel="0" collapsed="false">
      <c r="A161" s="21" t="s">
        <v>317</v>
      </c>
      <c r="B161" s="3" t="s">
        <v>316</v>
      </c>
      <c r="C161" s="3" t="s">
        <v>274</v>
      </c>
      <c r="D161" s="3" t="n">
        <v>39.9626</v>
      </c>
      <c r="E161" s="3" t="n">
        <v>-76.7277</v>
      </c>
    </row>
    <row r="162" customFormat="false" ht="15" hidden="false" customHeight="false" outlineLevel="0" collapsed="false">
      <c r="A162" s="21" t="s">
        <v>318</v>
      </c>
      <c r="B162" s="3" t="s">
        <v>319</v>
      </c>
      <c r="C162" s="3" t="s">
        <v>274</v>
      </c>
      <c r="D162" s="3" t="n">
        <v>40.0379</v>
      </c>
      <c r="E162" s="3" t="n">
        <v>-76.3055</v>
      </c>
    </row>
    <row r="163" customFormat="false" ht="15" hidden="false" customHeight="false" outlineLevel="0" collapsed="false">
      <c r="A163" s="21" t="s">
        <v>320</v>
      </c>
      <c r="B163" s="3" t="s">
        <v>319</v>
      </c>
      <c r="C163" s="3" t="s">
        <v>274</v>
      </c>
      <c r="D163" s="3" t="n">
        <v>40.0379</v>
      </c>
      <c r="E163" s="3" t="n">
        <v>-76.3055</v>
      </c>
    </row>
    <row r="164" customFormat="false" ht="15" hidden="false" customHeight="false" outlineLevel="0" collapsed="false">
      <c r="A164" s="21" t="s">
        <v>321</v>
      </c>
      <c r="B164" s="3" t="s">
        <v>322</v>
      </c>
      <c r="C164" s="3" t="s">
        <v>274</v>
      </c>
      <c r="D164" s="3" t="n">
        <v>41.24</v>
      </c>
      <c r="E164" s="3" t="n">
        <v>-77</v>
      </c>
    </row>
    <row r="165" customFormat="false" ht="15" hidden="false" customHeight="false" outlineLevel="0" collapsed="false">
      <c r="A165" s="21" t="s">
        <v>323</v>
      </c>
      <c r="B165" s="3" t="s">
        <v>324</v>
      </c>
      <c r="C165" s="3" t="s">
        <v>274</v>
      </c>
      <c r="D165" s="3" t="n">
        <v>40.86</v>
      </c>
      <c r="E165" s="3" t="n">
        <v>-76.79</v>
      </c>
    </row>
    <row r="166" customFormat="false" ht="15" hidden="false" customHeight="false" outlineLevel="0" collapsed="false">
      <c r="A166" s="21" t="s">
        <v>325</v>
      </c>
      <c r="B166" s="3" t="s">
        <v>326</v>
      </c>
      <c r="C166" s="3" t="s">
        <v>274</v>
      </c>
      <c r="D166" s="3" t="n">
        <v>40.69</v>
      </c>
      <c r="E166" s="3" t="n">
        <v>-76.19</v>
      </c>
    </row>
    <row r="167" customFormat="false" ht="15" hidden="false" customHeight="false" outlineLevel="0" collapsed="false">
      <c r="A167" s="21" t="s">
        <v>327</v>
      </c>
      <c r="B167" s="3" t="s">
        <v>328</v>
      </c>
      <c r="C167" s="3" t="s">
        <v>274</v>
      </c>
      <c r="D167" s="3" t="n">
        <v>40.6</v>
      </c>
      <c r="E167" s="3" t="n">
        <v>-75.47</v>
      </c>
    </row>
    <row r="168" customFormat="false" ht="15" hidden="false" customHeight="false" outlineLevel="0" collapsed="false">
      <c r="A168" s="21" t="s">
        <v>329</v>
      </c>
      <c r="B168" s="3" t="s">
        <v>330</v>
      </c>
      <c r="C168" s="3" t="s">
        <v>274</v>
      </c>
      <c r="D168" s="3" t="n">
        <v>40.6084</v>
      </c>
      <c r="E168" s="3" t="n">
        <v>-75.4902</v>
      </c>
    </row>
    <row r="169" customFormat="false" ht="15" hidden="false" customHeight="false" outlineLevel="0" collapsed="false">
      <c r="A169" s="21" t="s">
        <v>331</v>
      </c>
      <c r="B169" s="3" t="s">
        <v>332</v>
      </c>
      <c r="C169" s="3" t="s">
        <v>274</v>
      </c>
      <c r="D169" s="3" t="n">
        <v>40.96</v>
      </c>
      <c r="E169" s="3" t="n">
        <v>-75.98</v>
      </c>
    </row>
    <row r="170" customFormat="false" ht="15" hidden="false" customHeight="false" outlineLevel="0" collapsed="false">
      <c r="A170" s="21" t="s">
        <v>333</v>
      </c>
      <c r="B170" s="3" t="s">
        <v>334</v>
      </c>
      <c r="C170" s="3" t="s">
        <v>274</v>
      </c>
      <c r="D170" s="3" t="n">
        <v>41</v>
      </c>
      <c r="E170" s="3" t="n">
        <v>-75.18</v>
      </c>
    </row>
    <row r="171" customFormat="false" ht="15" hidden="false" customHeight="false" outlineLevel="0" collapsed="false">
      <c r="A171" s="21" t="s">
        <v>335</v>
      </c>
      <c r="B171" s="3" t="s">
        <v>336</v>
      </c>
      <c r="C171" s="3" t="s">
        <v>274</v>
      </c>
      <c r="D171" s="3" t="n">
        <v>41.409</v>
      </c>
      <c r="E171" s="3" t="n">
        <v>-75.6624</v>
      </c>
    </row>
    <row r="172" customFormat="false" ht="15" hidden="false" customHeight="false" outlineLevel="0" collapsed="false">
      <c r="A172" s="21" t="s">
        <v>337</v>
      </c>
      <c r="B172" s="3" t="s">
        <v>336</v>
      </c>
      <c r="C172" s="3" t="s">
        <v>274</v>
      </c>
      <c r="D172" s="3" t="n">
        <v>41.409</v>
      </c>
      <c r="E172" s="3" t="n">
        <v>-75.6624</v>
      </c>
    </row>
    <row r="173" customFormat="false" ht="15" hidden="false" customHeight="false" outlineLevel="0" collapsed="false">
      <c r="A173" s="21" t="s">
        <v>338</v>
      </c>
      <c r="B173" s="3" t="s">
        <v>339</v>
      </c>
      <c r="C173" s="3" t="s">
        <v>274</v>
      </c>
      <c r="D173" s="3" t="n">
        <v>41.2459</v>
      </c>
      <c r="E173" s="3" t="n">
        <v>-75.8813</v>
      </c>
    </row>
    <row r="174" customFormat="false" ht="15" hidden="false" customHeight="false" outlineLevel="0" collapsed="false">
      <c r="A174" s="21" t="s">
        <v>340</v>
      </c>
      <c r="B174" s="3" t="s">
        <v>339</v>
      </c>
      <c r="C174" s="3" t="s">
        <v>274</v>
      </c>
      <c r="D174" s="3" t="n">
        <v>41.2459</v>
      </c>
      <c r="E174" s="3" t="n">
        <v>-75.8813</v>
      </c>
    </row>
    <row r="175" customFormat="false" ht="15" hidden="false" customHeight="false" outlineLevel="0" collapsed="false">
      <c r="A175" s="21" t="s">
        <v>341</v>
      </c>
      <c r="B175" s="3" t="s">
        <v>342</v>
      </c>
      <c r="C175" s="3" t="s">
        <v>274</v>
      </c>
      <c r="D175" s="3" t="n">
        <v>41.84</v>
      </c>
      <c r="E175" s="3" t="n">
        <v>-75.88</v>
      </c>
    </row>
    <row r="176" customFormat="false" ht="15" hidden="false" customHeight="false" outlineLevel="0" collapsed="false">
      <c r="A176" s="21" t="s">
        <v>343</v>
      </c>
      <c r="B176" s="3" t="s">
        <v>344</v>
      </c>
      <c r="C176" s="3" t="s">
        <v>274</v>
      </c>
      <c r="D176" s="3" t="n">
        <v>40.31</v>
      </c>
      <c r="E176" s="3" t="n">
        <v>-75.13</v>
      </c>
    </row>
    <row r="177" customFormat="false" ht="15" hidden="false" customHeight="false" outlineLevel="0" collapsed="false">
      <c r="A177" s="21" t="s">
        <v>345</v>
      </c>
      <c r="B177" s="3" t="s">
        <v>346</v>
      </c>
      <c r="C177" s="3" t="s">
        <v>274</v>
      </c>
      <c r="D177" s="3" t="n">
        <v>39.9526</v>
      </c>
      <c r="E177" s="3" t="n">
        <v>-75.1652</v>
      </c>
    </row>
    <row r="178" customFormat="false" ht="15" hidden="false" customHeight="false" outlineLevel="0" collapsed="false">
      <c r="A178" s="21" t="s">
        <v>347</v>
      </c>
      <c r="B178" s="3" t="s">
        <v>346</v>
      </c>
      <c r="C178" s="3" t="s">
        <v>274</v>
      </c>
      <c r="D178" s="3" t="n">
        <v>39.9526</v>
      </c>
      <c r="E178" s="3" t="n">
        <v>-75.1652</v>
      </c>
    </row>
    <row r="179" customFormat="false" ht="15" hidden="false" customHeight="false" outlineLevel="0" collapsed="false">
      <c r="A179" s="21" t="s">
        <v>348</v>
      </c>
      <c r="B179" s="3" t="s">
        <v>346</v>
      </c>
      <c r="C179" s="3" t="s">
        <v>274</v>
      </c>
      <c r="D179" s="3" t="n">
        <v>39.9526</v>
      </c>
      <c r="E179" s="3" t="n">
        <v>-75.1652</v>
      </c>
    </row>
    <row r="180" customFormat="false" ht="15" hidden="false" customHeight="false" outlineLevel="0" collapsed="false">
      <c r="A180" s="21" t="s">
        <v>349</v>
      </c>
      <c r="B180" s="3" t="s">
        <v>350</v>
      </c>
      <c r="C180" s="3" t="s">
        <v>274</v>
      </c>
      <c r="D180" s="3" t="n">
        <v>40.04</v>
      </c>
      <c r="E180" s="3" t="n">
        <v>-75.48</v>
      </c>
    </row>
    <row r="181" customFormat="false" ht="15" hidden="false" customHeight="false" outlineLevel="0" collapsed="false">
      <c r="A181" s="21" t="s">
        <v>351</v>
      </c>
      <c r="B181" s="3" t="s">
        <v>352</v>
      </c>
      <c r="C181" s="3" t="s">
        <v>274</v>
      </c>
      <c r="D181" s="3" t="n">
        <v>40.12</v>
      </c>
      <c r="E181" s="3" t="n">
        <v>-75.34</v>
      </c>
    </row>
    <row r="182" customFormat="false" ht="15" hidden="false" customHeight="false" outlineLevel="0" collapsed="false">
      <c r="A182" s="21" t="s">
        <v>353</v>
      </c>
      <c r="B182" s="3" t="s">
        <v>354</v>
      </c>
      <c r="C182" s="3" t="s">
        <v>274</v>
      </c>
      <c r="D182" s="3" t="n">
        <v>40.3356</v>
      </c>
      <c r="E182" s="3" t="n">
        <v>-75.9269</v>
      </c>
    </row>
    <row r="183" customFormat="false" ht="15" hidden="false" customHeight="false" outlineLevel="0" collapsed="false">
      <c r="A183" s="21" t="s">
        <v>355</v>
      </c>
      <c r="B183" s="3" t="s">
        <v>354</v>
      </c>
      <c r="C183" s="3" t="s">
        <v>274</v>
      </c>
      <c r="D183" s="3" t="n">
        <v>40.3356</v>
      </c>
      <c r="E183" s="3" t="n">
        <v>-75.9269</v>
      </c>
    </row>
    <row r="184" customFormat="false" ht="15" hidden="false" customHeight="false" outlineLevel="0" collapsed="false">
      <c r="A184" s="21" t="s">
        <v>356</v>
      </c>
      <c r="B184" s="3" t="s">
        <v>357</v>
      </c>
      <c r="C184" s="3" t="s">
        <v>358</v>
      </c>
      <c r="D184" s="3" t="n">
        <v>39.7391</v>
      </c>
      <c r="E184" s="3" t="n">
        <v>-75.5398</v>
      </c>
    </row>
    <row r="185" customFormat="false" ht="15" hidden="false" customHeight="false" outlineLevel="0" collapsed="false">
      <c r="A185" s="21" t="s">
        <v>359</v>
      </c>
      <c r="B185" s="3" t="s">
        <v>357</v>
      </c>
      <c r="C185" s="3" t="s">
        <v>358</v>
      </c>
      <c r="D185" s="3" t="n">
        <v>39.7391</v>
      </c>
      <c r="E185" s="3" t="n">
        <v>-75.5398</v>
      </c>
    </row>
    <row r="186" customFormat="false" ht="15" hidden="false" customHeight="false" outlineLevel="0" collapsed="false">
      <c r="A186" s="21" t="s">
        <v>360</v>
      </c>
      <c r="B186" s="3" t="s">
        <v>169</v>
      </c>
      <c r="C186" s="3" t="s">
        <v>358</v>
      </c>
      <c r="D186" s="3" t="n">
        <v>39.1582</v>
      </c>
      <c r="E186" s="3" t="n">
        <v>-75.5244</v>
      </c>
    </row>
    <row r="187" customFormat="false" ht="15" hidden="false" customHeight="false" outlineLevel="0" collapsed="false">
      <c r="A187" s="21" t="s">
        <v>361</v>
      </c>
      <c r="B187" s="3" t="s">
        <v>278</v>
      </c>
      <c r="C187" s="3" t="s">
        <v>362</v>
      </c>
      <c r="D187" s="3" t="n">
        <v>38.9072</v>
      </c>
      <c r="E187" s="3" t="n">
        <v>-77.0369</v>
      </c>
    </row>
    <row r="188" customFormat="false" ht="15" hidden="false" customHeight="false" outlineLevel="0" collapsed="false">
      <c r="A188" s="21" t="s">
        <v>363</v>
      </c>
      <c r="B188" s="3" t="s">
        <v>364</v>
      </c>
      <c r="C188" s="3" t="s">
        <v>365</v>
      </c>
      <c r="D188" s="3" t="n">
        <v>38.95</v>
      </c>
      <c r="E188" s="3" t="n">
        <v>-77.45</v>
      </c>
    </row>
    <row r="189" customFormat="false" ht="15" hidden="false" customHeight="false" outlineLevel="0" collapsed="false">
      <c r="A189" s="21" t="s">
        <v>366</v>
      </c>
      <c r="B189" s="3" t="s">
        <v>278</v>
      </c>
      <c r="C189" s="3" t="s">
        <v>362</v>
      </c>
      <c r="D189" s="3" t="n">
        <v>38.9072</v>
      </c>
      <c r="E189" s="3" t="n">
        <v>-77.0369</v>
      </c>
    </row>
    <row r="190" customFormat="false" ht="15" hidden="false" customHeight="false" outlineLevel="0" collapsed="false">
      <c r="A190" s="21" t="s">
        <v>367</v>
      </c>
      <c r="B190" s="3" t="s">
        <v>278</v>
      </c>
      <c r="C190" s="3" t="s">
        <v>362</v>
      </c>
      <c r="D190" s="3" t="n">
        <v>38.9072</v>
      </c>
      <c r="E190" s="3" t="n">
        <v>-77.0369</v>
      </c>
    </row>
    <row r="191" customFormat="false" ht="15" hidden="false" customHeight="false" outlineLevel="0" collapsed="false">
      <c r="A191" s="21" t="s">
        <v>368</v>
      </c>
      <c r="B191" s="3" t="s">
        <v>278</v>
      </c>
      <c r="C191" s="3" t="s">
        <v>362</v>
      </c>
      <c r="D191" s="3" t="n">
        <v>38.9072</v>
      </c>
      <c r="E191" s="3" t="n">
        <v>-77.0369</v>
      </c>
    </row>
    <row r="192" customFormat="false" ht="15" hidden="false" customHeight="false" outlineLevel="0" collapsed="false">
      <c r="A192" s="21" t="s">
        <v>369</v>
      </c>
      <c r="B192" s="3" t="s">
        <v>278</v>
      </c>
      <c r="C192" s="3" t="s">
        <v>362</v>
      </c>
      <c r="D192" s="3" t="n">
        <v>38.9072</v>
      </c>
      <c r="E192" s="3" t="n">
        <v>-77.0369</v>
      </c>
    </row>
    <row r="193" customFormat="false" ht="15" hidden="false" customHeight="false" outlineLevel="0" collapsed="false">
      <c r="A193" s="21" t="s">
        <v>370</v>
      </c>
      <c r="B193" s="3" t="s">
        <v>371</v>
      </c>
      <c r="C193" s="3" t="s">
        <v>372</v>
      </c>
      <c r="D193" s="3" t="n">
        <v>38.62</v>
      </c>
      <c r="E193" s="3" t="n">
        <v>-76.92</v>
      </c>
    </row>
    <row r="194" customFormat="false" ht="15" hidden="false" customHeight="false" outlineLevel="0" collapsed="false">
      <c r="A194" s="21" t="s">
        <v>373</v>
      </c>
      <c r="B194" s="3" t="s">
        <v>374</v>
      </c>
      <c r="C194" s="3" t="s">
        <v>372</v>
      </c>
      <c r="D194" s="3" t="n">
        <v>39.11</v>
      </c>
      <c r="E194" s="3" t="n">
        <v>-76.78</v>
      </c>
    </row>
    <row r="195" customFormat="false" ht="15" hidden="false" customHeight="false" outlineLevel="0" collapsed="false">
      <c r="A195" s="21" t="s">
        <v>375</v>
      </c>
      <c r="B195" s="3" t="s">
        <v>376</v>
      </c>
      <c r="C195" s="3" t="s">
        <v>372</v>
      </c>
      <c r="D195" s="3" t="n">
        <v>38.98</v>
      </c>
      <c r="E195" s="3" t="n">
        <v>-77.1</v>
      </c>
    </row>
    <row r="196" customFormat="false" ht="15" hidden="false" customHeight="false" outlineLevel="0" collapsed="false">
      <c r="A196" s="21" t="s">
        <v>377</v>
      </c>
      <c r="B196" s="3" t="s">
        <v>378</v>
      </c>
      <c r="C196" s="3" t="s">
        <v>372</v>
      </c>
      <c r="D196" s="3" t="n">
        <v>38.99</v>
      </c>
      <c r="E196" s="3" t="n">
        <v>-77.03</v>
      </c>
    </row>
    <row r="197" customFormat="false" ht="15" hidden="false" customHeight="false" outlineLevel="0" collapsed="false">
      <c r="A197" s="21" t="s">
        <v>379</v>
      </c>
      <c r="B197" s="3" t="s">
        <v>380</v>
      </c>
      <c r="C197" s="3" t="s">
        <v>372</v>
      </c>
      <c r="D197" s="3" t="n">
        <v>39.2904</v>
      </c>
      <c r="E197" s="3" t="n">
        <v>-76.6122</v>
      </c>
    </row>
    <row r="198" customFormat="false" ht="15" hidden="false" customHeight="false" outlineLevel="0" collapsed="false">
      <c r="A198" s="21" t="s">
        <v>381</v>
      </c>
      <c r="B198" s="3" t="s">
        <v>380</v>
      </c>
      <c r="C198" s="3" t="s">
        <v>372</v>
      </c>
      <c r="D198" s="3" t="n">
        <v>39.2904</v>
      </c>
      <c r="E198" s="3" t="n">
        <v>-76.6122</v>
      </c>
    </row>
    <row r="199" customFormat="false" ht="15" hidden="false" customHeight="false" outlineLevel="0" collapsed="false">
      <c r="A199" s="21" t="s">
        <v>382</v>
      </c>
      <c r="B199" s="3" t="s">
        <v>380</v>
      </c>
      <c r="C199" s="3" t="s">
        <v>372</v>
      </c>
      <c r="D199" s="3" t="n">
        <v>39.2904</v>
      </c>
      <c r="E199" s="3" t="n">
        <v>-76.6122</v>
      </c>
    </row>
    <row r="200" customFormat="false" ht="15" hidden="false" customHeight="false" outlineLevel="0" collapsed="false">
      <c r="A200" s="21" t="s">
        <v>383</v>
      </c>
      <c r="B200" s="3" t="s">
        <v>384</v>
      </c>
      <c r="C200" s="3" t="s">
        <v>372</v>
      </c>
      <c r="D200" s="3" t="n">
        <v>38.9784</v>
      </c>
      <c r="E200" s="3" t="n">
        <v>-76.4922</v>
      </c>
    </row>
    <row r="201" customFormat="false" ht="15" hidden="false" customHeight="false" outlineLevel="0" collapsed="false">
      <c r="A201" s="21" t="s">
        <v>385</v>
      </c>
      <c r="B201" s="3" t="s">
        <v>386</v>
      </c>
      <c r="C201" s="3" t="s">
        <v>372</v>
      </c>
      <c r="D201" s="3" t="n">
        <v>39.65</v>
      </c>
      <c r="E201" s="3" t="n">
        <v>-78.76</v>
      </c>
    </row>
    <row r="202" customFormat="false" ht="15" hidden="false" customHeight="false" outlineLevel="0" collapsed="false">
      <c r="A202" s="21" t="s">
        <v>387</v>
      </c>
      <c r="B202" s="3" t="s">
        <v>388</v>
      </c>
      <c r="C202" s="3" t="s">
        <v>372</v>
      </c>
      <c r="D202" s="3" t="n">
        <v>38.77</v>
      </c>
      <c r="E202" s="3" t="n">
        <v>-76.08</v>
      </c>
    </row>
    <row r="203" customFormat="false" ht="15" hidden="false" customHeight="false" outlineLevel="0" collapsed="false">
      <c r="A203" s="21" t="s">
        <v>389</v>
      </c>
      <c r="B203" s="3" t="s">
        <v>390</v>
      </c>
      <c r="C203" s="3" t="s">
        <v>372</v>
      </c>
      <c r="D203" s="3" t="n">
        <v>39.4143</v>
      </c>
      <c r="E203" s="3" t="n">
        <v>-77.4105</v>
      </c>
    </row>
    <row r="204" customFormat="false" ht="15" hidden="false" customHeight="false" outlineLevel="0" collapsed="false">
      <c r="A204" s="21" t="s">
        <v>391</v>
      </c>
      <c r="B204" s="3" t="s">
        <v>392</v>
      </c>
      <c r="C204" s="3" t="s">
        <v>372</v>
      </c>
      <c r="D204" s="3" t="n">
        <v>38.36</v>
      </c>
      <c r="E204" s="3" t="n">
        <v>-75.6</v>
      </c>
    </row>
    <row r="205" customFormat="false" ht="15" hidden="false" customHeight="false" outlineLevel="0" collapsed="false">
      <c r="A205" s="21" t="s">
        <v>393</v>
      </c>
      <c r="B205" s="3" t="s">
        <v>394</v>
      </c>
      <c r="C205" s="3" t="s">
        <v>372</v>
      </c>
      <c r="D205" s="3" t="n">
        <v>39.61</v>
      </c>
      <c r="E205" s="3" t="n">
        <v>-75.83</v>
      </c>
    </row>
    <row r="206" customFormat="false" ht="15" hidden="false" customHeight="false" outlineLevel="0" collapsed="false">
      <c r="A206" s="21" t="s">
        <v>395</v>
      </c>
      <c r="B206" s="3" t="s">
        <v>278</v>
      </c>
      <c r="C206" s="3" t="s">
        <v>362</v>
      </c>
      <c r="D206" s="3" t="n">
        <v>38.9072</v>
      </c>
      <c r="E206" s="3" t="n">
        <v>-77.0369</v>
      </c>
    </row>
    <row r="207" customFormat="false" ht="15" hidden="false" customHeight="false" outlineLevel="0" collapsed="false">
      <c r="A207" s="21" t="s">
        <v>396</v>
      </c>
      <c r="B207" s="3" t="s">
        <v>278</v>
      </c>
      <c r="C207" s="3" t="s">
        <v>362</v>
      </c>
      <c r="D207" s="3" t="n">
        <v>38.9072</v>
      </c>
      <c r="E207" s="3" t="n">
        <v>-77.0369</v>
      </c>
    </row>
    <row r="208" customFormat="false" ht="15" hidden="false" customHeight="false" outlineLevel="0" collapsed="false">
      <c r="A208" s="21" t="s">
        <v>397</v>
      </c>
      <c r="B208" s="3" t="s">
        <v>398</v>
      </c>
      <c r="C208" s="3" t="s">
        <v>365</v>
      </c>
      <c r="D208" s="3" t="n">
        <v>38.88</v>
      </c>
      <c r="E208" s="3" t="n">
        <v>-77.1</v>
      </c>
    </row>
    <row r="209" customFormat="false" ht="15" hidden="false" customHeight="false" outlineLevel="0" collapsed="false">
      <c r="A209" s="21" t="s">
        <v>399</v>
      </c>
      <c r="B209" s="3" t="s">
        <v>400</v>
      </c>
      <c r="C209" s="3" t="s">
        <v>365</v>
      </c>
      <c r="D209" s="3" t="n">
        <v>38.8048</v>
      </c>
      <c r="E209" s="3" t="n">
        <v>-77.0469</v>
      </c>
    </row>
    <row r="210" customFormat="false" ht="15" hidden="false" customHeight="false" outlineLevel="0" collapsed="false">
      <c r="A210" s="21" t="s">
        <v>401</v>
      </c>
      <c r="B210" s="3" t="s">
        <v>402</v>
      </c>
      <c r="C210" s="3" t="s">
        <v>365</v>
      </c>
      <c r="D210" s="3" t="n">
        <v>38.3</v>
      </c>
      <c r="E210" s="3" t="n">
        <v>-77.46</v>
      </c>
    </row>
    <row r="211" customFormat="false" ht="15" hidden="false" customHeight="false" outlineLevel="0" collapsed="false">
      <c r="A211" s="21" t="s">
        <v>403</v>
      </c>
      <c r="B211" s="3" t="s">
        <v>402</v>
      </c>
      <c r="C211" s="3" t="s">
        <v>365</v>
      </c>
      <c r="D211" s="3" t="n">
        <v>38.3</v>
      </c>
      <c r="E211" s="3" t="n">
        <v>-77.46</v>
      </c>
    </row>
    <row r="212" customFormat="false" ht="15" hidden="false" customHeight="false" outlineLevel="0" collapsed="false">
      <c r="A212" s="21" t="s">
        <v>404</v>
      </c>
      <c r="B212" s="3" t="s">
        <v>405</v>
      </c>
      <c r="C212" s="3" t="s">
        <v>365</v>
      </c>
      <c r="D212" s="3" t="n">
        <v>39.19</v>
      </c>
      <c r="E212" s="3" t="n">
        <v>-78.16</v>
      </c>
    </row>
    <row r="213" customFormat="false" ht="15" hidden="false" customHeight="false" outlineLevel="0" collapsed="false">
      <c r="A213" s="21" t="s">
        <v>406</v>
      </c>
      <c r="B213" s="3" t="s">
        <v>407</v>
      </c>
      <c r="C213" s="3" t="s">
        <v>365</v>
      </c>
      <c r="D213" s="3" t="n">
        <v>38.47</v>
      </c>
      <c r="E213" s="3" t="n">
        <v>-77.996</v>
      </c>
    </row>
    <row r="214" customFormat="false" ht="15" hidden="false" customHeight="false" outlineLevel="0" collapsed="false">
      <c r="A214" s="21" t="s">
        <v>408</v>
      </c>
      <c r="B214" s="3" t="s">
        <v>409</v>
      </c>
      <c r="C214" s="3" t="s">
        <v>365</v>
      </c>
      <c r="D214" s="3" t="n">
        <v>38.4496</v>
      </c>
      <c r="E214" s="3" t="n">
        <v>-78.8689</v>
      </c>
    </row>
    <row r="215" customFormat="false" ht="15" hidden="false" customHeight="false" outlineLevel="0" collapsed="false">
      <c r="A215" s="21" t="s">
        <v>410</v>
      </c>
      <c r="B215" s="3" t="s">
        <v>411</v>
      </c>
      <c r="C215" s="3" t="s">
        <v>365</v>
      </c>
      <c r="D215" s="3" t="n">
        <v>38.0293</v>
      </c>
      <c r="E215" s="3" t="n">
        <v>-78.4767</v>
      </c>
    </row>
    <row r="216" customFormat="false" ht="15" hidden="false" customHeight="false" outlineLevel="0" collapsed="false">
      <c r="A216" s="21" t="s">
        <v>412</v>
      </c>
      <c r="B216" s="3" t="s">
        <v>413</v>
      </c>
      <c r="C216" s="3" t="s">
        <v>365</v>
      </c>
      <c r="D216" s="3" t="n">
        <v>37.5407</v>
      </c>
      <c r="E216" s="3" t="n">
        <v>-77.436</v>
      </c>
    </row>
    <row r="217" customFormat="false" ht="15" hidden="false" customHeight="false" outlineLevel="0" collapsed="false">
      <c r="A217" s="21" t="s">
        <v>414</v>
      </c>
      <c r="B217" s="3" t="s">
        <v>413</v>
      </c>
      <c r="C217" s="3" t="s">
        <v>365</v>
      </c>
      <c r="D217" s="3" t="n">
        <v>37.5407</v>
      </c>
      <c r="E217" s="3" t="n">
        <v>-77.436</v>
      </c>
    </row>
    <row r="218" customFormat="false" ht="15" hidden="false" customHeight="false" outlineLevel="0" collapsed="false">
      <c r="A218" s="21" t="s">
        <v>415</v>
      </c>
      <c r="B218" s="3" t="s">
        <v>413</v>
      </c>
      <c r="C218" s="3" t="s">
        <v>365</v>
      </c>
      <c r="D218" s="3" t="n">
        <v>37.5407</v>
      </c>
      <c r="E218" s="3" t="n">
        <v>-77.436</v>
      </c>
    </row>
    <row r="219" customFormat="false" ht="15" hidden="false" customHeight="false" outlineLevel="0" collapsed="false">
      <c r="A219" s="21" t="s">
        <v>416</v>
      </c>
      <c r="B219" s="3" t="s">
        <v>417</v>
      </c>
      <c r="C219" s="3" t="s">
        <v>365</v>
      </c>
      <c r="D219" s="3" t="n">
        <v>36.8508</v>
      </c>
      <c r="E219" s="3" t="n">
        <v>-76.2859</v>
      </c>
    </row>
    <row r="220" customFormat="false" ht="15" hidden="false" customHeight="false" outlineLevel="0" collapsed="false">
      <c r="A220" s="21" t="s">
        <v>418</v>
      </c>
      <c r="B220" s="3" t="s">
        <v>417</v>
      </c>
      <c r="C220" s="3" t="s">
        <v>365</v>
      </c>
      <c r="D220" s="3" t="n">
        <v>36.8508</v>
      </c>
      <c r="E220" s="3" t="n">
        <v>-76.2859</v>
      </c>
    </row>
    <row r="221" customFormat="false" ht="15" hidden="false" customHeight="false" outlineLevel="0" collapsed="false">
      <c r="A221" s="21" t="s">
        <v>419</v>
      </c>
      <c r="B221" s="3" t="s">
        <v>417</v>
      </c>
      <c r="C221" s="3" t="s">
        <v>365</v>
      </c>
      <c r="D221" s="3" t="n">
        <v>36.8508</v>
      </c>
      <c r="E221" s="3" t="n">
        <v>-76.2859</v>
      </c>
    </row>
    <row r="222" customFormat="false" ht="15" hidden="false" customHeight="false" outlineLevel="0" collapsed="false">
      <c r="A222" s="21" t="s">
        <v>420</v>
      </c>
      <c r="B222" s="3" t="s">
        <v>421</v>
      </c>
      <c r="C222" s="3" t="s">
        <v>365</v>
      </c>
      <c r="D222" s="3" t="n">
        <v>37.0871</v>
      </c>
      <c r="E222" s="3" t="n">
        <v>-76.473</v>
      </c>
    </row>
    <row r="223" customFormat="false" ht="15" hidden="false" customHeight="false" outlineLevel="0" collapsed="false">
      <c r="A223" s="21" t="s">
        <v>422</v>
      </c>
      <c r="B223" s="3" t="s">
        <v>96</v>
      </c>
      <c r="C223" s="3" t="s">
        <v>365</v>
      </c>
      <c r="D223" s="3" t="n">
        <v>36.8354</v>
      </c>
      <c r="E223" s="3" t="n">
        <v>-76.2983</v>
      </c>
    </row>
    <row r="224" customFormat="false" ht="15" hidden="false" customHeight="false" outlineLevel="0" collapsed="false">
      <c r="A224" s="21" t="s">
        <v>423</v>
      </c>
      <c r="B224" s="3" t="s">
        <v>424</v>
      </c>
      <c r="C224" s="3" t="s">
        <v>365</v>
      </c>
      <c r="D224" s="3" t="n">
        <v>37.23</v>
      </c>
      <c r="E224" s="3" t="n">
        <v>-77.4</v>
      </c>
    </row>
    <row r="225" customFormat="false" ht="15" hidden="false" customHeight="false" outlineLevel="0" collapsed="false">
      <c r="A225" s="21" t="s">
        <v>425</v>
      </c>
      <c r="B225" s="3" t="s">
        <v>426</v>
      </c>
      <c r="C225" s="3" t="s">
        <v>365</v>
      </c>
      <c r="D225" s="3" t="n">
        <v>37.3</v>
      </c>
      <c r="E225" s="3" t="n">
        <v>-78.39</v>
      </c>
    </row>
    <row r="226" customFormat="false" ht="15" hidden="false" customHeight="false" outlineLevel="0" collapsed="false">
      <c r="A226" s="21" t="s">
        <v>427</v>
      </c>
      <c r="B226" s="3" t="s">
        <v>428</v>
      </c>
      <c r="C226" s="3" t="s">
        <v>365</v>
      </c>
      <c r="D226" s="3" t="n">
        <v>37.271</v>
      </c>
      <c r="E226" s="3" t="n">
        <v>-79.9414</v>
      </c>
    </row>
    <row r="227" customFormat="false" ht="15" hidden="false" customHeight="false" outlineLevel="0" collapsed="false">
      <c r="A227" s="21" t="s">
        <v>429</v>
      </c>
      <c r="B227" s="3" t="s">
        <v>428</v>
      </c>
      <c r="C227" s="3" t="s">
        <v>365</v>
      </c>
      <c r="D227" s="3" t="n">
        <v>37.271</v>
      </c>
      <c r="E227" s="3" t="n">
        <v>-79.9414</v>
      </c>
    </row>
    <row r="228" customFormat="false" ht="15" hidden="false" customHeight="false" outlineLevel="0" collapsed="false">
      <c r="A228" s="21" t="s">
        <v>430</v>
      </c>
      <c r="B228" s="3" t="s">
        <v>431</v>
      </c>
      <c r="C228" s="3" t="s">
        <v>365</v>
      </c>
      <c r="D228" s="3" t="n">
        <v>36.6</v>
      </c>
      <c r="E228" s="3" t="n">
        <v>-82.19</v>
      </c>
    </row>
    <row r="229" customFormat="false" ht="15" hidden="false" customHeight="false" outlineLevel="0" collapsed="false">
      <c r="A229" s="21" t="s">
        <v>432</v>
      </c>
      <c r="B229" s="3" t="s">
        <v>433</v>
      </c>
      <c r="C229" s="3" t="s">
        <v>365</v>
      </c>
      <c r="D229" s="3" t="n">
        <v>37.05</v>
      </c>
      <c r="E229" s="3" t="n">
        <v>-80.78</v>
      </c>
    </row>
    <row r="230" customFormat="false" ht="15" hidden="false" customHeight="false" outlineLevel="0" collapsed="false">
      <c r="A230" s="21" t="s">
        <v>434</v>
      </c>
      <c r="B230" s="3" t="s">
        <v>435</v>
      </c>
      <c r="C230" s="3" t="s">
        <v>365</v>
      </c>
      <c r="D230" s="3" t="n">
        <v>38.15</v>
      </c>
      <c r="E230" s="3" t="n">
        <v>-79.07</v>
      </c>
    </row>
    <row r="231" customFormat="false" ht="15" hidden="false" customHeight="false" outlineLevel="0" collapsed="false">
      <c r="A231" s="21" t="s">
        <v>436</v>
      </c>
      <c r="B231" s="3" t="s">
        <v>437</v>
      </c>
      <c r="C231" s="3" t="s">
        <v>365</v>
      </c>
      <c r="D231" s="3" t="n">
        <v>37.4138</v>
      </c>
      <c r="E231" s="3" t="n">
        <v>-79.1422</v>
      </c>
    </row>
    <row r="232" customFormat="false" ht="15" hidden="false" customHeight="false" outlineLevel="0" collapsed="false">
      <c r="A232" s="21" t="s">
        <v>438</v>
      </c>
      <c r="B232" s="3" t="s">
        <v>439</v>
      </c>
      <c r="C232" s="3" t="s">
        <v>440</v>
      </c>
      <c r="D232" s="3" t="n">
        <v>37.27</v>
      </c>
      <c r="E232" s="3" t="n">
        <v>-81.22</v>
      </c>
    </row>
    <row r="233" customFormat="false" ht="15" hidden="false" customHeight="false" outlineLevel="0" collapsed="false">
      <c r="A233" s="21" t="s">
        <v>441</v>
      </c>
      <c r="B233" s="3" t="s">
        <v>439</v>
      </c>
      <c r="C233" s="3" t="s">
        <v>440</v>
      </c>
      <c r="D233" s="3" t="n">
        <v>37.27</v>
      </c>
      <c r="E233" s="3" t="n">
        <v>-81.22</v>
      </c>
    </row>
    <row r="234" customFormat="false" ht="15" hidden="false" customHeight="false" outlineLevel="0" collapsed="false">
      <c r="A234" s="21" t="s">
        <v>442</v>
      </c>
      <c r="B234" s="3" t="s">
        <v>443</v>
      </c>
      <c r="C234" s="3" t="s">
        <v>440</v>
      </c>
      <c r="D234" s="3" t="n">
        <v>37.43</v>
      </c>
      <c r="E234" s="3" t="n">
        <v>-81.59</v>
      </c>
    </row>
    <row r="235" customFormat="false" ht="15" hidden="false" customHeight="false" outlineLevel="0" collapsed="false">
      <c r="A235" s="21" t="s">
        <v>444</v>
      </c>
      <c r="B235" s="3" t="s">
        <v>445</v>
      </c>
      <c r="C235" s="3" t="s">
        <v>440</v>
      </c>
      <c r="D235" s="3" t="n">
        <v>37.8</v>
      </c>
      <c r="E235" s="3" t="n">
        <v>-80.45</v>
      </c>
    </row>
    <row r="236" customFormat="false" ht="15" hidden="false" customHeight="false" outlineLevel="0" collapsed="false">
      <c r="A236" s="21" t="s">
        <v>446</v>
      </c>
      <c r="B236" s="3" t="s">
        <v>447</v>
      </c>
      <c r="C236" s="3" t="s">
        <v>440</v>
      </c>
      <c r="D236" s="3" t="n">
        <v>38.3498</v>
      </c>
      <c r="E236" s="3" t="n">
        <v>-81.6326</v>
      </c>
    </row>
    <row r="237" customFormat="false" ht="15" hidden="false" customHeight="false" outlineLevel="0" collapsed="false">
      <c r="A237" s="21" t="s">
        <v>448</v>
      </c>
      <c r="B237" s="3" t="s">
        <v>447</v>
      </c>
      <c r="C237" s="3" t="s">
        <v>440</v>
      </c>
      <c r="D237" s="3" t="n">
        <v>38.3498</v>
      </c>
      <c r="E237" s="3" t="n">
        <v>-81.6326</v>
      </c>
    </row>
    <row r="238" customFormat="false" ht="15" hidden="false" customHeight="false" outlineLevel="0" collapsed="false">
      <c r="A238" s="21" t="s">
        <v>449</v>
      </c>
      <c r="B238" s="3" t="s">
        <v>447</v>
      </c>
      <c r="C238" s="3" t="s">
        <v>440</v>
      </c>
      <c r="D238" s="3" t="n">
        <v>38.3498</v>
      </c>
      <c r="E238" s="3" t="n">
        <v>-81.6326</v>
      </c>
    </row>
    <row r="239" customFormat="false" ht="15" hidden="false" customHeight="false" outlineLevel="0" collapsed="false">
      <c r="A239" s="21" t="s">
        <v>450</v>
      </c>
      <c r="B239" s="3" t="s">
        <v>447</v>
      </c>
      <c r="C239" s="3" t="s">
        <v>440</v>
      </c>
      <c r="D239" s="3" t="n">
        <v>38.3498</v>
      </c>
      <c r="E239" s="3" t="n">
        <v>-81.6326</v>
      </c>
    </row>
    <row r="240" customFormat="false" ht="15" hidden="false" customHeight="false" outlineLevel="0" collapsed="false">
      <c r="A240" s="21" t="s">
        <v>451</v>
      </c>
      <c r="B240" s="3" t="s">
        <v>452</v>
      </c>
      <c r="C240" s="3" t="s">
        <v>440</v>
      </c>
      <c r="D240" s="3" t="n">
        <v>39.46</v>
      </c>
      <c r="E240" s="3" t="n">
        <v>-77.96</v>
      </c>
    </row>
    <row r="241" customFormat="false" ht="15" hidden="false" customHeight="false" outlineLevel="0" collapsed="false">
      <c r="A241" s="21" t="s">
        <v>453</v>
      </c>
      <c r="B241" s="3" t="s">
        <v>454</v>
      </c>
      <c r="C241" s="3" t="s">
        <v>440</v>
      </c>
      <c r="D241" s="3" t="n">
        <v>38.4192</v>
      </c>
      <c r="E241" s="3" t="n">
        <v>-82.4452</v>
      </c>
    </row>
    <row r="242" customFormat="false" ht="15" hidden="false" customHeight="false" outlineLevel="0" collapsed="false">
      <c r="A242" s="21" t="s">
        <v>455</v>
      </c>
      <c r="B242" s="3" t="s">
        <v>456</v>
      </c>
      <c r="C242" s="3" t="s">
        <v>440</v>
      </c>
      <c r="D242" s="3" t="n">
        <v>37.85</v>
      </c>
      <c r="E242" s="3" t="n">
        <v>-81.99</v>
      </c>
    </row>
    <row r="243" customFormat="false" ht="15" hidden="false" customHeight="false" outlineLevel="0" collapsed="false">
      <c r="A243" s="21" t="s">
        <v>457</v>
      </c>
      <c r="B243" s="3" t="s">
        <v>454</v>
      </c>
      <c r="C243" s="3" t="s">
        <v>440</v>
      </c>
      <c r="D243" s="3" t="n">
        <v>38.4192</v>
      </c>
      <c r="E243" s="3" t="n">
        <v>-82.4452</v>
      </c>
    </row>
    <row r="244" customFormat="false" ht="15" hidden="false" customHeight="false" outlineLevel="0" collapsed="false">
      <c r="A244" s="21" t="s">
        <v>458</v>
      </c>
      <c r="B244" s="3" t="s">
        <v>459</v>
      </c>
      <c r="C244" s="3" t="s">
        <v>440</v>
      </c>
      <c r="D244" s="3" t="n">
        <v>37.78</v>
      </c>
      <c r="E244" s="3" t="n">
        <v>-81.19</v>
      </c>
    </row>
    <row r="245" customFormat="false" ht="15" hidden="false" customHeight="false" outlineLevel="0" collapsed="false">
      <c r="A245" s="21" t="s">
        <v>460</v>
      </c>
      <c r="B245" s="3" t="s">
        <v>459</v>
      </c>
      <c r="C245" s="3" t="s">
        <v>440</v>
      </c>
      <c r="D245" s="3" t="n">
        <v>37.78</v>
      </c>
      <c r="E245" s="3" t="n">
        <v>-81.19</v>
      </c>
    </row>
    <row r="246" customFormat="false" ht="15" hidden="false" customHeight="false" outlineLevel="0" collapsed="false">
      <c r="A246" s="21" t="s">
        <v>461</v>
      </c>
      <c r="B246" s="3" t="s">
        <v>462</v>
      </c>
      <c r="C246" s="3" t="s">
        <v>440</v>
      </c>
      <c r="D246" s="3" t="n">
        <v>40.06</v>
      </c>
      <c r="E246" s="3" t="n">
        <v>-80.72</v>
      </c>
    </row>
    <row r="247" customFormat="false" ht="15" hidden="false" customHeight="false" outlineLevel="0" collapsed="false">
      <c r="A247" s="21" t="s">
        <v>463</v>
      </c>
      <c r="B247" s="3" t="s">
        <v>464</v>
      </c>
      <c r="C247" s="3" t="s">
        <v>440</v>
      </c>
      <c r="D247" s="3" t="n">
        <v>39.27</v>
      </c>
      <c r="E247" s="3" t="n">
        <v>-81.56</v>
      </c>
    </row>
    <row r="248" customFormat="false" ht="15" hidden="false" customHeight="false" outlineLevel="0" collapsed="false">
      <c r="A248" s="21" t="s">
        <v>465</v>
      </c>
      <c r="B248" s="3" t="s">
        <v>466</v>
      </c>
      <c r="C248" s="3" t="s">
        <v>440</v>
      </c>
      <c r="D248" s="3" t="n">
        <v>39.28</v>
      </c>
      <c r="E248" s="3" t="n">
        <v>-80.34</v>
      </c>
    </row>
    <row r="249" customFormat="false" ht="15" hidden="false" customHeight="false" outlineLevel="0" collapsed="false">
      <c r="A249" s="21" t="s">
        <v>467</v>
      </c>
      <c r="B249" s="3" t="s">
        <v>466</v>
      </c>
      <c r="C249" s="3" t="s">
        <v>440</v>
      </c>
      <c r="D249" s="3" t="n">
        <v>39.28</v>
      </c>
      <c r="E249" s="3" t="n">
        <v>-80.34</v>
      </c>
    </row>
    <row r="250" customFormat="false" ht="15" hidden="false" customHeight="false" outlineLevel="0" collapsed="false">
      <c r="A250" s="21" t="s">
        <v>468</v>
      </c>
      <c r="B250" s="3" t="s">
        <v>466</v>
      </c>
      <c r="C250" s="3" t="s">
        <v>440</v>
      </c>
      <c r="D250" s="3" t="n">
        <v>39.28</v>
      </c>
      <c r="E250" s="3" t="n">
        <v>-80.34</v>
      </c>
    </row>
    <row r="251" customFormat="false" ht="15" hidden="false" customHeight="false" outlineLevel="0" collapsed="false">
      <c r="A251" s="21" t="s">
        <v>469</v>
      </c>
      <c r="B251" s="3" t="s">
        <v>470</v>
      </c>
      <c r="C251" s="3" t="s">
        <v>440</v>
      </c>
      <c r="D251" s="3" t="n">
        <v>39.63</v>
      </c>
      <c r="E251" s="3" t="n">
        <v>-79.96</v>
      </c>
    </row>
    <row r="252" customFormat="false" ht="15" hidden="false" customHeight="false" outlineLevel="0" collapsed="false">
      <c r="A252" s="21" t="s">
        <v>471</v>
      </c>
      <c r="B252" s="3" t="s">
        <v>472</v>
      </c>
      <c r="C252" s="3" t="s">
        <v>440</v>
      </c>
      <c r="D252" s="3" t="n">
        <v>38.66</v>
      </c>
      <c r="E252" s="3" t="n">
        <v>-80.71</v>
      </c>
    </row>
    <row r="253" customFormat="false" ht="15" hidden="false" customHeight="false" outlineLevel="0" collapsed="false">
      <c r="A253" s="21" t="s">
        <v>473</v>
      </c>
      <c r="B253" s="3" t="s">
        <v>386</v>
      </c>
      <c r="C253" s="3" t="s">
        <v>372</v>
      </c>
      <c r="D253" s="3" t="n">
        <v>39.65</v>
      </c>
      <c r="E253" s="3" t="n">
        <v>-78.76</v>
      </c>
    </row>
    <row r="254" customFormat="false" ht="15" hidden="false" customHeight="false" outlineLevel="0" collapsed="false">
      <c r="A254" s="21" t="s">
        <v>474</v>
      </c>
      <c r="B254" s="3" t="s">
        <v>424</v>
      </c>
      <c r="C254" s="3" t="s">
        <v>440</v>
      </c>
      <c r="D254" s="3" t="n">
        <v>38.99</v>
      </c>
      <c r="E254" s="3" t="n">
        <v>-79.12</v>
      </c>
    </row>
    <row r="255" customFormat="false" ht="15" hidden="false" customHeight="false" outlineLevel="0" collapsed="false">
      <c r="A255" s="21" t="s">
        <v>475</v>
      </c>
      <c r="B255" s="3" t="s">
        <v>476</v>
      </c>
      <c r="C255" s="3" t="s">
        <v>477</v>
      </c>
      <c r="D255" s="3" t="n">
        <v>36.0999</v>
      </c>
      <c r="E255" s="3" t="n">
        <v>-80.2442</v>
      </c>
    </row>
    <row r="256" customFormat="false" ht="15" hidden="false" customHeight="false" outlineLevel="0" collapsed="false">
      <c r="A256" s="21" t="s">
        <v>478</v>
      </c>
      <c r="B256" s="3" t="s">
        <v>476</v>
      </c>
      <c r="C256" s="3" t="s">
        <v>477</v>
      </c>
      <c r="D256" s="3" t="n">
        <v>36.0999</v>
      </c>
      <c r="E256" s="3" t="n">
        <v>-80.2442</v>
      </c>
    </row>
    <row r="257" customFormat="false" ht="15" hidden="false" customHeight="false" outlineLevel="0" collapsed="false">
      <c r="A257" s="21" t="s">
        <v>479</v>
      </c>
      <c r="B257" s="3" t="s">
        <v>480</v>
      </c>
      <c r="C257" s="3" t="s">
        <v>477</v>
      </c>
      <c r="D257" s="3" t="n">
        <v>36.0726</v>
      </c>
      <c r="E257" s="3" t="n">
        <v>-79.792</v>
      </c>
    </row>
    <row r="258" customFormat="false" ht="15" hidden="false" customHeight="false" outlineLevel="0" collapsed="false">
      <c r="A258" s="21" t="s">
        <v>481</v>
      </c>
      <c r="B258" s="3" t="s">
        <v>480</v>
      </c>
      <c r="C258" s="3" t="s">
        <v>477</v>
      </c>
      <c r="D258" s="3" t="n">
        <v>36.0726</v>
      </c>
      <c r="E258" s="3" t="n">
        <v>-79.792</v>
      </c>
    </row>
    <row r="259" customFormat="false" ht="15" hidden="false" customHeight="false" outlineLevel="0" collapsed="false">
      <c r="A259" s="21" t="s">
        <v>482</v>
      </c>
      <c r="B259" s="3" t="s">
        <v>480</v>
      </c>
      <c r="C259" s="3" t="s">
        <v>477</v>
      </c>
      <c r="D259" s="3" t="n">
        <v>36.0726</v>
      </c>
      <c r="E259" s="3" t="n">
        <v>-79.792</v>
      </c>
    </row>
    <row r="260" customFormat="false" ht="15" hidden="false" customHeight="false" outlineLevel="0" collapsed="false">
      <c r="A260" s="21" t="s">
        <v>483</v>
      </c>
      <c r="B260" s="3" t="s">
        <v>484</v>
      </c>
      <c r="C260" s="3" t="s">
        <v>477</v>
      </c>
      <c r="D260" s="3" t="n">
        <v>35.7796</v>
      </c>
      <c r="E260" s="3" t="n">
        <v>-78.6382</v>
      </c>
    </row>
    <row r="261" customFormat="false" ht="15" hidden="false" customHeight="false" outlineLevel="0" collapsed="false">
      <c r="A261" s="21" t="s">
        <v>485</v>
      </c>
      <c r="B261" s="3" t="s">
        <v>484</v>
      </c>
      <c r="C261" s="3" t="s">
        <v>477</v>
      </c>
      <c r="D261" s="3" t="n">
        <v>35.7796</v>
      </c>
      <c r="E261" s="3" t="n">
        <v>-78.6382</v>
      </c>
    </row>
    <row r="262" customFormat="false" ht="15" hidden="false" customHeight="false" outlineLevel="0" collapsed="false">
      <c r="A262" s="21" t="s">
        <v>486</v>
      </c>
      <c r="B262" s="3" t="s">
        <v>487</v>
      </c>
      <c r="C262" s="3" t="s">
        <v>477</v>
      </c>
      <c r="D262" s="3" t="n">
        <v>35.994</v>
      </c>
      <c r="E262" s="3" t="n">
        <v>-78.8986</v>
      </c>
    </row>
    <row r="263" customFormat="false" ht="15" hidden="false" customHeight="false" outlineLevel="0" collapsed="false">
      <c r="A263" s="21" t="s">
        <v>488</v>
      </c>
      <c r="B263" s="3" t="s">
        <v>489</v>
      </c>
      <c r="C263" s="3" t="s">
        <v>477</v>
      </c>
      <c r="D263" s="3" t="n">
        <v>35.9382</v>
      </c>
      <c r="E263" s="3" t="n">
        <v>-77.7905</v>
      </c>
    </row>
    <row r="264" customFormat="false" ht="15" hidden="false" customHeight="false" outlineLevel="0" collapsed="false">
      <c r="A264" s="21" t="s">
        <v>490</v>
      </c>
      <c r="B264" s="3" t="s">
        <v>491</v>
      </c>
      <c r="C264" s="3" t="s">
        <v>477</v>
      </c>
      <c r="D264" s="3" t="n">
        <v>36.29</v>
      </c>
      <c r="E264" s="3" t="n">
        <v>-76.25</v>
      </c>
    </row>
    <row r="265" customFormat="false" ht="15" hidden="false" customHeight="false" outlineLevel="0" collapsed="false">
      <c r="A265" s="21" t="s">
        <v>492</v>
      </c>
      <c r="B265" s="3" t="s">
        <v>493</v>
      </c>
      <c r="C265" s="3" t="s">
        <v>477</v>
      </c>
      <c r="D265" s="3" t="n">
        <v>35.2271</v>
      </c>
      <c r="E265" s="3" t="n">
        <v>-80.8431</v>
      </c>
    </row>
    <row r="266" customFormat="false" ht="15" hidden="false" customHeight="false" outlineLevel="0" collapsed="false">
      <c r="A266" s="21" t="s">
        <v>494</v>
      </c>
      <c r="B266" s="3" t="s">
        <v>493</v>
      </c>
      <c r="C266" s="3" t="s">
        <v>477</v>
      </c>
      <c r="D266" s="3" t="n">
        <v>35.2271</v>
      </c>
      <c r="E266" s="3" t="n">
        <v>-80.8431</v>
      </c>
    </row>
    <row r="267" customFormat="false" ht="15" hidden="false" customHeight="false" outlineLevel="0" collapsed="false">
      <c r="A267" s="21" t="s">
        <v>495</v>
      </c>
      <c r="B267" s="3" t="s">
        <v>493</v>
      </c>
      <c r="C267" s="3" t="s">
        <v>477</v>
      </c>
      <c r="D267" s="3" t="n">
        <v>35.2271</v>
      </c>
      <c r="E267" s="3" t="n">
        <v>-80.8431</v>
      </c>
    </row>
    <row r="268" customFormat="false" ht="15" hidden="false" customHeight="false" outlineLevel="0" collapsed="false">
      <c r="A268" s="21" t="s">
        <v>496</v>
      </c>
      <c r="B268" s="3" t="s">
        <v>497</v>
      </c>
      <c r="C268" s="3" t="s">
        <v>477</v>
      </c>
      <c r="D268" s="3" t="n">
        <v>35.0527</v>
      </c>
      <c r="E268" s="3" t="n">
        <v>-78.8784</v>
      </c>
    </row>
    <row r="269" customFormat="false" ht="15" hidden="false" customHeight="false" outlineLevel="0" collapsed="false">
      <c r="A269" s="21" t="s">
        <v>498</v>
      </c>
      <c r="B269" s="3" t="s">
        <v>357</v>
      </c>
      <c r="C269" s="3" t="s">
        <v>477</v>
      </c>
      <c r="D269" s="3" t="n">
        <v>34.2257</v>
      </c>
      <c r="E269" s="3" t="n">
        <v>-77.9447</v>
      </c>
    </row>
    <row r="270" customFormat="false" ht="15" hidden="false" customHeight="false" outlineLevel="0" collapsed="false">
      <c r="A270" s="21" t="s">
        <v>499</v>
      </c>
      <c r="B270" s="3" t="s">
        <v>500</v>
      </c>
      <c r="C270" s="3" t="s">
        <v>477</v>
      </c>
      <c r="D270" s="3" t="n">
        <v>35.26</v>
      </c>
      <c r="E270" s="3" t="n">
        <v>-77.58</v>
      </c>
    </row>
    <row r="271" customFormat="false" ht="15" hidden="false" customHeight="false" outlineLevel="0" collapsed="false">
      <c r="A271" s="21" t="s">
        <v>501</v>
      </c>
      <c r="B271" s="3" t="s">
        <v>502</v>
      </c>
      <c r="C271" s="3" t="s">
        <v>477</v>
      </c>
      <c r="D271" s="3" t="n">
        <v>35.7345</v>
      </c>
      <c r="E271" s="3" t="n">
        <v>-81.3445</v>
      </c>
    </row>
    <row r="272" customFormat="false" ht="15" hidden="false" customHeight="false" outlineLevel="0" collapsed="false">
      <c r="A272" s="21" t="s">
        <v>503</v>
      </c>
      <c r="B272" s="3" t="s">
        <v>504</v>
      </c>
      <c r="C272" s="3" t="s">
        <v>477</v>
      </c>
      <c r="D272" s="3" t="n">
        <v>35.5951</v>
      </c>
      <c r="E272" s="3" t="n">
        <v>-82.5515</v>
      </c>
    </row>
    <row r="273" customFormat="false" ht="15" hidden="false" customHeight="false" outlineLevel="0" collapsed="false">
      <c r="A273" s="21" t="s">
        <v>505</v>
      </c>
      <c r="B273" s="3" t="s">
        <v>504</v>
      </c>
      <c r="C273" s="3" t="s">
        <v>477</v>
      </c>
      <c r="D273" s="3" t="n">
        <v>35.5951</v>
      </c>
      <c r="E273" s="3" t="n">
        <v>-82.5515</v>
      </c>
    </row>
    <row r="274" customFormat="false" ht="15" hidden="false" customHeight="false" outlineLevel="0" collapsed="false">
      <c r="A274" s="21" t="s">
        <v>506</v>
      </c>
      <c r="B274" s="3" t="s">
        <v>507</v>
      </c>
      <c r="C274" s="3" t="s">
        <v>477</v>
      </c>
      <c r="D274" s="3" t="n">
        <v>35.2</v>
      </c>
      <c r="E274" s="3" t="n">
        <v>-83.82</v>
      </c>
    </row>
    <row r="275" customFormat="false" ht="15" hidden="false" customHeight="false" outlineLevel="0" collapsed="false">
      <c r="A275" s="21" t="s">
        <v>508</v>
      </c>
      <c r="B275" s="3" t="s">
        <v>509</v>
      </c>
      <c r="C275" s="3" t="s">
        <v>510</v>
      </c>
      <c r="D275" s="3" t="n">
        <v>34.0007</v>
      </c>
      <c r="E275" s="3" t="n">
        <v>-81.0348</v>
      </c>
    </row>
    <row r="276" customFormat="false" ht="15" hidden="false" customHeight="false" outlineLevel="0" collapsed="false">
      <c r="A276" s="21" t="s">
        <v>511</v>
      </c>
      <c r="B276" s="3" t="s">
        <v>509</v>
      </c>
      <c r="C276" s="3" t="s">
        <v>510</v>
      </c>
      <c r="D276" s="3" t="n">
        <v>34.0007</v>
      </c>
      <c r="E276" s="3" t="n">
        <v>-81.0348</v>
      </c>
    </row>
    <row r="277" customFormat="false" ht="15" hidden="false" customHeight="false" outlineLevel="0" collapsed="false">
      <c r="A277" s="21" t="s">
        <v>512</v>
      </c>
      <c r="B277" s="3" t="s">
        <v>509</v>
      </c>
      <c r="C277" s="3" t="s">
        <v>510</v>
      </c>
      <c r="D277" s="3" t="n">
        <v>34.0007</v>
      </c>
      <c r="E277" s="3" t="n">
        <v>-81.0348</v>
      </c>
    </row>
    <row r="278" customFormat="false" ht="15" hidden="false" customHeight="false" outlineLevel="0" collapsed="false">
      <c r="A278" s="21" t="s">
        <v>513</v>
      </c>
      <c r="B278" s="3" t="s">
        <v>514</v>
      </c>
      <c r="C278" s="3" t="s">
        <v>510</v>
      </c>
      <c r="D278" s="3" t="n">
        <v>34.9496</v>
      </c>
      <c r="E278" s="3" t="n">
        <v>-81.932</v>
      </c>
    </row>
    <row r="279" customFormat="false" ht="15" hidden="false" customHeight="false" outlineLevel="0" collapsed="false">
      <c r="A279" s="21" t="s">
        <v>515</v>
      </c>
      <c r="B279" s="3" t="s">
        <v>447</v>
      </c>
      <c r="C279" s="3" t="s">
        <v>510</v>
      </c>
      <c r="D279" s="3" t="n">
        <v>32.7765</v>
      </c>
      <c r="E279" s="3" t="n">
        <v>-79.9311</v>
      </c>
    </row>
    <row r="280" customFormat="false" ht="15" hidden="false" customHeight="false" outlineLevel="0" collapsed="false">
      <c r="A280" s="21" t="s">
        <v>516</v>
      </c>
      <c r="B280" s="3" t="s">
        <v>517</v>
      </c>
      <c r="C280" s="3" t="s">
        <v>510</v>
      </c>
      <c r="D280" s="3" t="n">
        <v>34.1954</v>
      </c>
      <c r="E280" s="3" t="n">
        <v>-79.7626</v>
      </c>
    </row>
    <row r="281" customFormat="false" ht="15" hidden="false" customHeight="false" outlineLevel="0" collapsed="false">
      <c r="A281" s="21" t="s">
        <v>518</v>
      </c>
      <c r="B281" s="3" t="s">
        <v>519</v>
      </c>
      <c r="C281" s="3" t="s">
        <v>510</v>
      </c>
      <c r="D281" s="3" t="n">
        <v>34.8526</v>
      </c>
      <c r="E281" s="3" t="n">
        <v>-82.394</v>
      </c>
    </row>
    <row r="282" customFormat="false" ht="15" hidden="false" customHeight="false" outlineLevel="0" collapsed="false">
      <c r="A282" s="21" t="s">
        <v>520</v>
      </c>
      <c r="B282" s="3" t="s">
        <v>493</v>
      </c>
      <c r="C282" s="3" t="s">
        <v>477</v>
      </c>
      <c r="D282" s="3" t="n">
        <v>35.2271</v>
      </c>
      <c r="E282" s="3" t="n">
        <v>-80.8431</v>
      </c>
    </row>
    <row r="283" customFormat="false" ht="15" hidden="false" customHeight="false" outlineLevel="0" collapsed="false">
      <c r="A283" s="21" t="s">
        <v>521</v>
      </c>
      <c r="B283" s="3" t="s">
        <v>105</v>
      </c>
      <c r="C283" s="3" t="s">
        <v>522</v>
      </c>
      <c r="D283" s="3" t="n">
        <v>33.47</v>
      </c>
      <c r="E283" s="3" t="n">
        <v>-81.97</v>
      </c>
    </row>
    <row r="284" customFormat="false" ht="15" hidden="false" customHeight="false" outlineLevel="0" collapsed="false">
      <c r="A284" s="21" t="s">
        <v>523</v>
      </c>
      <c r="B284" s="3" t="s">
        <v>524</v>
      </c>
      <c r="C284" s="3" t="s">
        <v>510</v>
      </c>
      <c r="D284" s="3" t="n">
        <v>32.43</v>
      </c>
      <c r="E284" s="3" t="n">
        <v>-80.67</v>
      </c>
    </row>
    <row r="285" customFormat="false" ht="15" hidden="false" customHeight="false" outlineLevel="0" collapsed="false">
      <c r="A285" s="21" t="s">
        <v>525</v>
      </c>
      <c r="B285" s="3" t="s">
        <v>526</v>
      </c>
      <c r="C285" s="3" t="s">
        <v>522</v>
      </c>
      <c r="D285" s="3" t="n">
        <v>33.749</v>
      </c>
      <c r="E285" s="3" t="n">
        <v>-84.388</v>
      </c>
    </row>
    <row r="286" customFormat="false" ht="15" hidden="false" customHeight="false" outlineLevel="0" collapsed="false">
      <c r="A286" s="21" t="s">
        <v>527</v>
      </c>
      <c r="B286" s="3" t="s">
        <v>526</v>
      </c>
      <c r="C286" s="3" t="s">
        <v>522</v>
      </c>
      <c r="D286" s="3" t="n">
        <v>33.749</v>
      </c>
      <c r="E286" s="3" t="n">
        <v>-84.388</v>
      </c>
    </row>
    <row r="287" customFormat="false" ht="15" hidden="false" customHeight="false" outlineLevel="0" collapsed="false">
      <c r="A287" s="21" t="s">
        <v>528</v>
      </c>
      <c r="B287" s="3" t="s">
        <v>526</v>
      </c>
      <c r="C287" s="3" t="s">
        <v>522</v>
      </c>
      <c r="D287" s="3" t="n">
        <v>33.749</v>
      </c>
      <c r="E287" s="3" t="n">
        <v>-84.388</v>
      </c>
    </row>
    <row r="288" customFormat="false" ht="15" hidden="false" customHeight="false" outlineLevel="0" collapsed="false">
      <c r="A288" s="21" t="s">
        <v>529</v>
      </c>
      <c r="B288" s="3" t="s">
        <v>526</v>
      </c>
      <c r="C288" s="3" t="s">
        <v>522</v>
      </c>
      <c r="D288" s="3" t="n">
        <v>33.749</v>
      </c>
      <c r="E288" s="3" t="n">
        <v>-84.388</v>
      </c>
    </row>
    <row r="289" customFormat="false" ht="15" hidden="false" customHeight="false" outlineLevel="0" collapsed="false">
      <c r="A289" s="21" t="s">
        <v>530</v>
      </c>
      <c r="B289" s="3" t="s">
        <v>531</v>
      </c>
      <c r="C289" s="3" t="s">
        <v>522</v>
      </c>
      <c r="D289" s="3" t="n">
        <v>32.6</v>
      </c>
      <c r="E289" s="3" t="n">
        <v>-82.33</v>
      </c>
    </row>
    <row r="290" customFormat="false" ht="15" hidden="false" customHeight="false" outlineLevel="0" collapsed="false">
      <c r="A290" s="21" t="s">
        <v>532</v>
      </c>
      <c r="B290" s="3" t="s">
        <v>533</v>
      </c>
      <c r="C290" s="3" t="s">
        <v>522</v>
      </c>
      <c r="D290" s="3" t="n">
        <v>34.3</v>
      </c>
      <c r="E290" s="3" t="n">
        <v>-83.82</v>
      </c>
    </row>
    <row r="291" customFormat="false" ht="15" hidden="false" customHeight="false" outlineLevel="0" collapsed="false">
      <c r="A291" s="21" t="s">
        <v>534</v>
      </c>
      <c r="B291" s="3" t="s">
        <v>535</v>
      </c>
      <c r="C291" s="3" t="s">
        <v>522</v>
      </c>
      <c r="D291" s="3" t="n">
        <v>33.96</v>
      </c>
      <c r="E291" s="3" t="n">
        <v>-83.38</v>
      </c>
    </row>
    <row r="292" customFormat="false" ht="15" hidden="false" customHeight="false" outlineLevel="0" collapsed="false">
      <c r="A292" s="21" t="s">
        <v>536</v>
      </c>
      <c r="B292" s="3" t="s">
        <v>537</v>
      </c>
      <c r="C292" s="3" t="s">
        <v>538</v>
      </c>
      <c r="D292" s="3" t="n">
        <v>35.0456</v>
      </c>
      <c r="E292" s="3" t="n">
        <v>-85.3097</v>
      </c>
    </row>
    <row r="293" customFormat="false" ht="15" hidden="false" customHeight="false" outlineLevel="0" collapsed="false">
      <c r="A293" s="21" t="s">
        <v>539</v>
      </c>
      <c r="B293" s="3" t="s">
        <v>105</v>
      </c>
      <c r="C293" s="3" t="s">
        <v>522</v>
      </c>
      <c r="D293" s="3" t="n">
        <v>33.47</v>
      </c>
      <c r="E293" s="3" t="n">
        <v>-81.97</v>
      </c>
    </row>
    <row r="294" customFormat="false" ht="15" hidden="false" customHeight="false" outlineLevel="0" collapsed="false">
      <c r="A294" s="21" t="s">
        <v>540</v>
      </c>
      <c r="B294" s="3" t="s">
        <v>105</v>
      </c>
      <c r="C294" s="3" t="s">
        <v>522</v>
      </c>
      <c r="D294" s="3" t="n">
        <v>33.47</v>
      </c>
      <c r="E294" s="3" t="n">
        <v>-81.97</v>
      </c>
    </row>
    <row r="295" customFormat="false" ht="15" hidden="false" customHeight="false" outlineLevel="0" collapsed="false">
      <c r="A295" s="21" t="s">
        <v>541</v>
      </c>
      <c r="B295" s="3" t="s">
        <v>542</v>
      </c>
      <c r="C295" s="3" t="s">
        <v>522</v>
      </c>
      <c r="D295" s="3" t="n">
        <v>32.8407</v>
      </c>
      <c r="E295" s="3" t="n">
        <v>-83.6324</v>
      </c>
    </row>
    <row r="296" customFormat="false" ht="15" hidden="false" customHeight="false" outlineLevel="0" collapsed="false">
      <c r="A296" s="21" t="s">
        <v>543</v>
      </c>
      <c r="B296" s="3" t="s">
        <v>526</v>
      </c>
      <c r="C296" s="3" t="s">
        <v>522</v>
      </c>
      <c r="D296" s="3" t="n">
        <v>33.749</v>
      </c>
      <c r="E296" s="3" t="n">
        <v>-84.388</v>
      </c>
    </row>
    <row r="297" customFormat="false" ht="15" hidden="false" customHeight="false" outlineLevel="0" collapsed="false">
      <c r="A297" s="21" t="s">
        <v>544</v>
      </c>
      <c r="B297" s="3" t="s">
        <v>542</v>
      </c>
      <c r="C297" s="3" t="s">
        <v>522</v>
      </c>
      <c r="D297" s="3" t="n">
        <v>32.8407</v>
      </c>
      <c r="E297" s="3" t="n">
        <v>-83.6324</v>
      </c>
    </row>
    <row r="298" customFormat="false" ht="15" hidden="false" customHeight="false" outlineLevel="0" collapsed="false">
      <c r="A298" s="21" t="s">
        <v>545</v>
      </c>
      <c r="B298" s="3" t="s">
        <v>546</v>
      </c>
      <c r="C298" s="3" t="s">
        <v>522</v>
      </c>
      <c r="D298" s="3" t="n">
        <v>32.0835</v>
      </c>
      <c r="E298" s="3" t="n">
        <v>-81.0998</v>
      </c>
    </row>
    <row r="299" customFormat="false" ht="15" hidden="false" customHeight="false" outlineLevel="0" collapsed="false">
      <c r="A299" s="21" t="s">
        <v>547</v>
      </c>
      <c r="B299" s="3" t="s">
        <v>546</v>
      </c>
      <c r="C299" s="3" t="s">
        <v>522</v>
      </c>
      <c r="D299" s="3" t="n">
        <v>32.0835</v>
      </c>
      <c r="E299" s="3" t="n">
        <v>-81.0998</v>
      </c>
    </row>
    <row r="300" customFormat="false" ht="15" hidden="false" customHeight="false" outlineLevel="0" collapsed="false">
      <c r="A300" s="21" t="s">
        <v>548</v>
      </c>
      <c r="B300" s="3" t="s">
        <v>549</v>
      </c>
      <c r="C300" s="3" t="s">
        <v>522</v>
      </c>
      <c r="D300" s="3" t="n">
        <v>31.21</v>
      </c>
      <c r="E300" s="3" t="n">
        <v>-82.35</v>
      </c>
    </row>
    <row r="301" customFormat="false" ht="15" hidden="false" customHeight="false" outlineLevel="0" collapsed="false">
      <c r="A301" s="21" t="s">
        <v>550</v>
      </c>
      <c r="B301" s="3" t="s">
        <v>551</v>
      </c>
      <c r="C301" s="3" t="s">
        <v>522</v>
      </c>
      <c r="D301" s="3" t="n">
        <v>30.8327</v>
      </c>
      <c r="E301" s="3" t="n">
        <v>-83.2785</v>
      </c>
    </row>
    <row r="302" customFormat="false" ht="15" hidden="false" customHeight="false" outlineLevel="0" collapsed="false">
      <c r="A302" s="21" t="s">
        <v>552</v>
      </c>
      <c r="B302" s="3" t="s">
        <v>227</v>
      </c>
      <c r="C302" s="3" t="s">
        <v>522</v>
      </c>
      <c r="D302" s="3" t="n">
        <v>31.5785</v>
      </c>
      <c r="E302" s="3" t="n">
        <v>-84.1557</v>
      </c>
    </row>
    <row r="303" customFormat="false" ht="15" hidden="false" customHeight="false" outlineLevel="0" collapsed="false">
      <c r="A303" s="21" t="s">
        <v>553</v>
      </c>
      <c r="B303" s="3" t="s">
        <v>554</v>
      </c>
      <c r="C303" s="3" t="s">
        <v>522</v>
      </c>
      <c r="D303" s="3" t="n">
        <v>32.461</v>
      </c>
      <c r="E303" s="3" t="n">
        <v>-84.9877</v>
      </c>
    </row>
    <row r="304" customFormat="false" ht="15" hidden="false" customHeight="false" outlineLevel="0" collapsed="false">
      <c r="A304" s="21" t="s">
        <v>555</v>
      </c>
      <c r="B304" s="3" t="s">
        <v>554</v>
      </c>
      <c r="C304" s="3" t="s">
        <v>522</v>
      </c>
      <c r="D304" s="3" t="n">
        <v>32.461</v>
      </c>
      <c r="E304" s="3" t="n">
        <v>-84.9877</v>
      </c>
    </row>
    <row r="305" customFormat="false" ht="15" hidden="false" customHeight="false" outlineLevel="0" collapsed="false">
      <c r="A305" s="21" t="s">
        <v>556</v>
      </c>
      <c r="B305" s="3" t="s">
        <v>557</v>
      </c>
      <c r="C305" s="3" t="s">
        <v>558</v>
      </c>
      <c r="D305" s="3" t="n">
        <v>30.3322</v>
      </c>
      <c r="E305" s="3" t="n">
        <v>-81.6557</v>
      </c>
    </row>
    <row r="306" customFormat="false" ht="15" hidden="false" customHeight="false" outlineLevel="0" collapsed="false">
      <c r="A306" s="21" t="s">
        <v>559</v>
      </c>
      <c r="B306" s="3" t="s">
        <v>560</v>
      </c>
      <c r="C306" s="3" t="s">
        <v>558</v>
      </c>
      <c r="D306" s="3" t="n">
        <v>29.2108</v>
      </c>
      <c r="E306" s="3" t="n">
        <v>-81.0228</v>
      </c>
    </row>
    <row r="307" customFormat="false" ht="15" hidden="false" customHeight="false" outlineLevel="0" collapsed="false">
      <c r="A307" s="21" t="s">
        <v>561</v>
      </c>
      <c r="B307" s="3" t="s">
        <v>557</v>
      </c>
      <c r="C307" s="3" t="s">
        <v>558</v>
      </c>
      <c r="D307" s="3" t="n">
        <v>30.3322</v>
      </c>
      <c r="E307" s="3" t="n">
        <v>-81.6557</v>
      </c>
    </row>
    <row r="308" customFormat="false" ht="15" hidden="false" customHeight="false" outlineLevel="0" collapsed="false">
      <c r="A308" s="21" t="s">
        <v>562</v>
      </c>
      <c r="B308" s="3" t="s">
        <v>563</v>
      </c>
      <c r="C308" s="3" t="s">
        <v>558</v>
      </c>
      <c r="D308" s="3" t="n">
        <v>30.4383</v>
      </c>
      <c r="E308" s="3" t="n">
        <v>-84.2807</v>
      </c>
    </row>
    <row r="309" customFormat="false" ht="15" hidden="false" customHeight="false" outlineLevel="0" collapsed="false">
      <c r="A309" s="21" t="s">
        <v>564</v>
      </c>
      <c r="B309" s="3" t="s">
        <v>565</v>
      </c>
      <c r="C309" s="3" t="s">
        <v>558</v>
      </c>
      <c r="D309" s="3" t="n">
        <v>30.1588</v>
      </c>
      <c r="E309" s="3" t="n">
        <v>-85.6602</v>
      </c>
    </row>
    <row r="310" customFormat="false" ht="15" hidden="false" customHeight="false" outlineLevel="0" collapsed="false">
      <c r="A310" s="21" t="s">
        <v>566</v>
      </c>
      <c r="B310" s="3" t="s">
        <v>567</v>
      </c>
      <c r="C310" s="3" t="s">
        <v>558</v>
      </c>
      <c r="D310" s="3" t="n">
        <v>30.4213</v>
      </c>
      <c r="E310" s="3" t="n">
        <v>-87.2169</v>
      </c>
    </row>
    <row r="311" customFormat="false" ht="15" hidden="false" customHeight="false" outlineLevel="0" collapsed="false">
      <c r="A311" s="21" t="s">
        <v>568</v>
      </c>
      <c r="B311" s="3" t="s">
        <v>533</v>
      </c>
      <c r="C311" s="3" t="s">
        <v>558</v>
      </c>
      <c r="D311" s="3" t="n">
        <v>29.6516</v>
      </c>
      <c r="E311" s="3" t="n">
        <v>-82.3248</v>
      </c>
    </row>
    <row r="312" customFormat="false" ht="15" hidden="false" customHeight="false" outlineLevel="0" collapsed="false">
      <c r="A312" s="21" t="s">
        <v>569</v>
      </c>
      <c r="B312" s="3" t="s">
        <v>570</v>
      </c>
      <c r="C312" s="3" t="s">
        <v>558</v>
      </c>
      <c r="D312" s="3" t="n">
        <v>28.5383</v>
      </c>
      <c r="E312" s="3" t="n">
        <v>-81.3792</v>
      </c>
    </row>
    <row r="313" customFormat="false" ht="15" hidden="false" customHeight="false" outlineLevel="0" collapsed="false">
      <c r="A313" s="21" t="s">
        <v>571</v>
      </c>
      <c r="B313" s="3" t="s">
        <v>570</v>
      </c>
      <c r="C313" s="3" t="s">
        <v>558</v>
      </c>
      <c r="D313" s="3" t="n">
        <v>28.5383</v>
      </c>
      <c r="E313" s="3" t="n">
        <v>-81.3792</v>
      </c>
    </row>
    <row r="314" customFormat="false" ht="15" hidden="false" customHeight="false" outlineLevel="0" collapsed="false">
      <c r="A314" s="21" t="s">
        <v>572</v>
      </c>
      <c r="B314" s="3" t="s">
        <v>573</v>
      </c>
      <c r="C314" s="3" t="s">
        <v>558</v>
      </c>
      <c r="D314" s="3" t="n">
        <v>28.0836</v>
      </c>
      <c r="E314" s="3" t="n">
        <v>-80.6081</v>
      </c>
    </row>
    <row r="315" customFormat="false" ht="15" hidden="false" customHeight="false" outlineLevel="0" collapsed="false">
      <c r="A315" s="21" t="s">
        <v>574</v>
      </c>
      <c r="B315" s="3" t="s">
        <v>575</v>
      </c>
      <c r="C315" s="3" t="s">
        <v>558</v>
      </c>
      <c r="D315" s="3" t="n">
        <v>25.7617</v>
      </c>
      <c r="E315" s="3" t="n">
        <v>-80.1918</v>
      </c>
    </row>
    <row r="316" customFormat="false" ht="15" hidden="false" customHeight="false" outlineLevel="0" collapsed="false">
      <c r="A316" s="21" t="s">
        <v>576</v>
      </c>
      <c r="B316" s="3" t="s">
        <v>575</v>
      </c>
      <c r="C316" s="3" t="s">
        <v>558</v>
      </c>
      <c r="D316" s="3" t="n">
        <v>25.7617</v>
      </c>
      <c r="E316" s="3" t="n">
        <v>-80.1918</v>
      </c>
    </row>
    <row r="317" customFormat="false" ht="15" hidden="false" customHeight="false" outlineLevel="0" collapsed="false">
      <c r="A317" s="21" t="s">
        <v>577</v>
      </c>
      <c r="B317" s="3" t="s">
        <v>575</v>
      </c>
      <c r="C317" s="3" t="s">
        <v>558</v>
      </c>
      <c r="D317" s="3" t="n">
        <v>25.7617</v>
      </c>
      <c r="E317" s="3" t="n">
        <v>-80.1918</v>
      </c>
    </row>
    <row r="318" customFormat="false" ht="15" hidden="false" customHeight="false" outlineLevel="0" collapsed="false">
      <c r="A318" s="21" t="s">
        <v>578</v>
      </c>
      <c r="B318" s="3" t="s">
        <v>579</v>
      </c>
      <c r="C318" s="3" t="s">
        <v>558</v>
      </c>
      <c r="D318" s="3" t="n">
        <v>26.1224</v>
      </c>
      <c r="E318" s="3" t="n">
        <v>-80.1373</v>
      </c>
    </row>
    <row r="319" customFormat="false" ht="15" hidden="false" customHeight="false" outlineLevel="0" collapsed="false">
      <c r="A319" s="21" t="s">
        <v>580</v>
      </c>
      <c r="B319" s="3" t="s">
        <v>581</v>
      </c>
      <c r="C319" s="3" t="s">
        <v>558</v>
      </c>
      <c r="D319" s="3" t="n">
        <v>26.7153</v>
      </c>
      <c r="E319" s="3" t="n">
        <v>-80.0534</v>
      </c>
    </row>
    <row r="320" customFormat="false" ht="15" hidden="false" customHeight="false" outlineLevel="0" collapsed="false">
      <c r="A320" s="21" t="s">
        <v>582</v>
      </c>
      <c r="B320" s="3" t="s">
        <v>583</v>
      </c>
      <c r="C320" s="3" t="s">
        <v>558</v>
      </c>
      <c r="D320" s="3" t="n">
        <v>27.9506</v>
      </c>
      <c r="E320" s="3" t="n">
        <v>-82.4572</v>
      </c>
    </row>
    <row r="321" customFormat="false" ht="15" hidden="false" customHeight="false" outlineLevel="0" collapsed="false">
      <c r="A321" s="21" t="s">
        <v>584</v>
      </c>
      <c r="B321" s="3" t="s">
        <v>583</v>
      </c>
      <c r="C321" s="3" t="s">
        <v>558</v>
      </c>
      <c r="D321" s="3" t="n">
        <v>27.9506</v>
      </c>
      <c r="E321" s="3" t="n">
        <v>-82.4572</v>
      </c>
    </row>
    <row r="322" customFormat="false" ht="15" hidden="false" customHeight="false" outlineLevel="0" collapsed="false">
      <c r="A322" s="21" t="s">
        <v>585</v>
      </c>
      <c r="B322" s="3" t="s">
        <v>586</v>
      </c>
      <c r="C322" s="3" t="s">
        <v>558</v>
      </c>
      <c r="D322" s="3" t="n">
        <v>27.7731</v>
      </c>
      <c r="E322" s="3" t="n">
        <v>-82.64</v>
      </c>
    </row>
    <row r="323" customFormat="false" ht="15" hidden="false" customHeight="false" outlineLevel="0" collapsed="false">
      <c r="A323" s="21" t="s">
        <v>587</v>
      </c>
      <c r="B323" s="3" t="s">
        <v>588</v>
      </c>
      <c r="C323" s="3" t="s">
        <v>558</v>
      </c>
      <c r="D323" s="3" t="n">
        <v>28.0395</v>
      </c>
      <c r="E323" s="3" t="n">
        <v>-81.9498</v>
      </c>
    </row>
    <row r="324" customFormat="false" ht="15" hidden="false" customHeight="false" outlineLevel="0" collapsed="false">
      <c r="A324" s="21" t="s">
        <v>589</v>
      </c>
      <c r="B324" s="3" t="s">
        <v>590</v>
      </c>
      <c r="C324" s="3" t="s">
        <v>558</v>
      </c>
      <c r="D324" s="3" t="n">
        <v>26.6406</v>
      </c>
      <c r="E324" s="3" t="n">
        <v>-81.8723</v>
      </c>
    </row>
    <row r="325" customFormat="false" ht="15" hidden="false" customHeight="false" outlineLevel="0" collapsed="false">
      <c r="A325" s="21" t="s">
        <v>591</v>
      </c>
      <c r="B325" s="3" t="s">
        <v>592</v>
      </c>
      <c r="C325" s="3" t="s">
        <v>558</v>
      </c>
      <c r="D325" s="3" t="n">
        <v>26.14</v>
      </c>
      <c r="E325" s="3" t="n">
        <v>-81.79</v>
      </c>
    </row>
    <row r="326" customFormat="false" ht="15" hidden="false" customHeight="false" outlineLevel="0" collapsed="false">
      <c r="A326" s="21" t="s">
        <v>593</v>
      </c>
      <c r="B326" s="3" t="s">
        <v>594</v>
      </c>
      <c r="C326" s="3" t="s">
        <v>558</v>
      </c>
      <c r="D326" s="3" t="n">
        <v>27.4989</v>
      </c>
      <c r="E326" s="3" t="n">
        <v>-82.5748</v>
      </c>
    </row>
    <row r="327" customFormat="false" ht="15" hidden="false" customHeight="false" outlineLevel="0" collapsed="false">
      <c r="A327" s="21" t="s">
        <v>595</v>
      </c>
      <c r="B327" s="3" t="s">
        <v>596</v>
      </c>
      <c r="C327" s="3" t="s">
        <v>558</v>
      </c>
      <c r="D327" s="3" t="n">
        <v>29.1872</v>
      </c>
      <c r="E327" s="3" t="n">
        <v>-82.1401</v>
      </c>
    </row>
    <row r="328" customFormat="false" ht="15" hidden="false" customHeight="false" outlineLevel="0" collapsed="false">
      <c r="A328" s="21" t="s">
        <v>597</v>
      </c>
      <c r="B328" s="3" t="s">
        <v>598</v>
      </c>
      <c r="C328" s="3" t="s">
        <v>558</v>
      </c>
      <c r="D328" s="3" t="n">
        <v>28.56</v>
      </c>
      <c r="E328" s="3" t="n">
        <v>-82.39</v>
      </c>
    </row>
    <row r="329" customFormat="false" ht="15" hidden="false" customHeight="false" outlineLevel="0" collapsed="false">
      <c r="A329" s="21" t="s">
        <v>599</v>
      </c>
      <c r="B329" s="3" t="s">
        <v>570</v>
      </c>
      <c r="C329" s="3" t="s">
        <v>558</v>
      </c>
      <c r="D329" s="3" t="n">
        <v>28.5383</v>
      </c>
      <c r="E329" s="3" t="n">
        <v>-81.3792</v>
      </c>
    </row>
    <row r="330" customFormat="false" ht="15" hidden="false" customHeight="false" outlineLevel="0" collapsed="false">
      <c r="A330" s="21" t="s">
        <v>600</v>
      </c>
      <c r="B330" s="3" t="s">
        <v>601</v>
      </c>
      <c r="C330" s="3" t="s">
        <v>558</v>
      </c>
      <c r="D330" s="3" t="n">
        <v>27.4467</v>
      </c>
      <c r="E330" s="3" t="n">
        <v>-80.3256</v>
      </c>
    </row>
    <row r="331" customFormat="false" ht="15" hidden="false" customHeight="false" outlineLevel="0" collapsed="false">
      <c r="A331" s="21" t="s">
        <v>602</v>
      </c>
      <c r="B331" s="3" t="s">
        <v>603</v>
      </c>
      <c r="C331" s="3" t="s">
        <v>604</v>
      </c>
      <c r="D331" s="3" t="n">
        <v>33.5207</v>
      </c>
      <c r="E331" s="3" t="n">
        <v>-86.8025</v>
      </c>
    </row>
    <row r="332" customFormat="false" ht="15" hidden="false" customHeight="false" outlineLevel="0" collapsed="false">
      <c r="A332" s="21" t="s">
        <v>605</v>
      </c>
      <c r="B332" s="3" t="s">
        <v>603</v>
      </c>
      <c r="C332" s="3" t="s">
        <v>604</v>
      </c>
      <c r="D332" s="3" t="n">
        <v>33.5207</v>
      </c>
      <c r="E332" s="3" t="n">
        <v>-86.8025</v>
      </c>
    </row>
    <row r="333" customFormat="false" ht="15" hidden="false" customHeight="false" outlineLevel="0" collapsed="false">
      <c r="A333" s="21" t="s">
        <v>606</v>
      </c>
      <c r="B333" s="3" t="s">
        <v>603</v>
      </c>
      <c r="C333" s="3" t="s">
        <v>604</v>
      </c>
      <c r="D333" s="3" t="n">
        <v>33.5207</v>
      </c>
      <c r="E333" s="3" t="n">
        <v>-86.8025</v>
      </c>
    </row>
    <row r="334" customFormat="false" ht="15" hidden="false" customHeight="false" outlineLevel="0" collapsed="false">
      <c r="A334" s="21" t="s">
        <v>607</v>
      </c>
      <c r="B334" s="3" t="s">
        <v>608</v>
      </c>
      <c r="C334" s="3" t="s">
        <v>604</v>
      </c>
      <c r="D334" s="3" t="n">
        <v>33.2098</v>
      </c>
      <c r="E334" s="3" t="n">
        <v>-87.5692</v>
      </c>
    </row>
    <row r="335" customFormat="false" ht="15" hidden="false" customHeight="false" outlineLevel="0" collapsed="false">
      <c r="A335" s="21" t="s">
        <v>609</v>
      </c>
      <c r="B335" s="3" t="s">
        <v>610</v>
      </c>
      <c r="C335" s="3" t="s">
        <v>604</v>
      </c>
      <c r="D335" s="3" t="n">
        <v>33.83</v>
      </c>
      <c r="E335" s="3" t="n">
        <v>-87.28</v>
      </c>
    </row>
    <row r="336" customFormat="false" ht="15" hidden="false" customHeight="false" outlineLevel="0" collapsed="false">
      <c r="A336" s="21" t="s">
        <v>611</v>
      </c>
      <c r="B336" s="3" t="s">
        <v>612</v>
      </c>
      <c r="C336" s="3" t="s">
        <v>604</v>
      </c>
      <c r="D336" s="3" t="n">
        <v>34.6059</v>
      </c>
      <c r="E336" s="3" t="n">
        <v>-86.9833</v>
      </c>
    </row>
    <row r="337" customFormat="false" ht="15" hidden="false" customHeight="false" outlineLevel="0" collapsed="false">
      <c r="A337" s="21" t="s">
        <v>613</v>
      </c>
      <c r="B337" s="3" t="s">
        <v>614</v>
      </c>
      <c r="C337" s="3" t="s">
        <v>604</v>
      </c>
      <c r="D337" s="3" t="n">
        <v>34.7304</v>
      </c>
      <c r="E337" s="3" t="n">
        <v>-86.5861</v>
      </c>
    </row>
    <row r="338" customFormat="false" ht="15" hidden="false" customHeight="false" outlineLevel="0" collapsed="false">
      <c r="A338" s="21" t="s">
        <v>615</v>
      </c>
      <c r="B338" s="3" t="s">
        <v>614</v>
      </c>
      <c r="C338" s="3" t="s">
        <v>604</v>
      </c>
      <c r="D338" s="3" t="n">
        <v>34.7304</v>
      </c>
      <c r="E338" s="3" t="n">
        <v>-86.5861</v>
      </c>
    </row>
    <row r="339" customFormat="false" ht="15" hidden="false" customHeight="false" outlineLevel="0" collapsed="false">
      <c r="A339" s="21" t="s">
        <v>616</v>
      </c>
      <c r="B339" s="3" t="s">
        <v>617</v>
      </c>
      <c r="C339" s="3" t="s">
        <v>604</v>
      </c>
      <c r="D339" s="3" t="n">
        <v>34.01</v>
      </c>
      <c r="E339" s="3" t="n">
        <v>-86.01</v>
      </c>
    </row>
    <row r="340" customFormat="false" ht="15" hidden="false" customHeight="false" outlineLevel="0" collapsed="false">
      <c r="A340" s="21" t="s">
        <v>618</v>
      </c>
      <c r="B340" s="3" t="s">
        <v>619</v>
      </c>
      <c r="C340" s="3" t="s">
        <v>604</v>
      </c>
      <c r="D340" s="3" t="n">
        <v>32.3668</v>
      </c>
      <c r="E340" s="3" t="n">
        <v>-86.3</v>
      </c>
    </row>
    <row r="341" customFormat="false" ht="15" hidden="false" customHeight="false" outlineLevel="0" collapsed="false">
      <c r="A341" s="21" t="s">
        <v>620</v>
      </c>
      <c r="B341" s="3" t="s">
        <v>619</v>
      </c>
      <c r="C341" s="3" t="s">
        <v>604</v>
      </c>
      <c r="D341" s="3" t="n">
        <v>32.3668</v>
      </c>
      <c r="E341" s="3" t="n">
        <v>-86.3</v>
      </c>
    </row>
    <row r="342" customFormat="false" ht="15" hidden="false" customHeight="false" outlineLevel="0" collapsed="false">
      <c r="A342" s="21" t="s">
        <v>621</v>
      </c>
      <c r="B342" s="3" t="s">
        <v>622</v>
      </c>
      <c r="C342" s="3" t="s">
        <v>604</v>
      </c>
      <c r="D342" s="3" t="n">
        <v>33.66</v>
      </c>
      <c r="E342" s="3" t="n">
        <v>-85.83</v>
      </c>
    </row>
    <row r="343" customFormat="false" ht="15" hidden="false" customHeight="false" outlineLevel="0" collapsed="false">
      <c r="A343" s="21" t="s">
        <v>623</v>
      </c>
      <c r="B343" s="3" t="s">
        <v>624</v>
      </c>
      <c r="C343" s="3" t="s">
        <v>604</v>
      </c>
      <c r="D343" s="3" t="n">
        <v>31.2232</v>
      </c>
      <c r="E343" s="3" t="n">
        <v>-85.3905</v>
      </c>
    </row>
    <row r="344" customFormat="false" ht="15" hidden="false" customHeight="false" outlineLevel="0" collapsed="false">
      <c r="A344" s="21" t="s">
        <v>625</v>
      </c>
      <c r="B344" s="3" t="s">
        <v>626</v>
      </c>
      <c r="C344" s="3" t="s">
        <v>604</v>
      </c>
      <c r="D344" s="3" t="n">
        <v>31.43</v>
      </c>
      <c r="E344" s="3" t="n">
        <v>-86.96</v>
      </c>
    </row>
    <row r="345" customFormat="false" ht="15" hidden="false" customHeight="false" outlineLevel="0" collapsed="false">
      <c r="A345" s="21" t="s">
        <v>627</v>
      </c>
      <c r="B345" s="3" t="s">
        <v>628</v>
      </c>
      <c r="C345" s="3" t="s">
        <v>604</v>
      </c>
      <c r="D345" s="3" t="n">
        <v>30.6954</v>
      </c>
      <c r="E345" s="3" t="n">
        <v>-88.0399</v>
      </c>
    </row>
    <row r="346" customFormat="false" ht="15" hidden="false" customHeight="false" outlineLevel="0" collapsed="false">
      <c r="A346" s="21" t="s">
        <v>629</v>
      </c>
      <c r="B346" s="3" t="s">
        <v>628</v>
      </c>
      <c r="C346" s="3" t="s">
        <v>604</v>
      </c>
      <c r="D346" s="3" t="n">
        <v>30.6954</v>
      </c>
      <c r="E346" s="3" t="n">
        <v>-88.0399</v>
      </c>
    </row>
    <row r="347" customFormat="false" ht="15" hidden="false" customHeight="false" outlineLevel="0" collapsed="false">
      <c r="A347" s="21" t="s">
        <v>630</v>
      </c>
      <c r="B347" s="3" t="s">
        <v>631</v>
      </c>
      <c r="C347" s="3" t="s">
        <v>604</v>
      </c>
      <c r="D347" s="3" t="n">
        <v>32.41</v>
      </c>
      <c r="E347" s="3" t="n">
        <v>-87.02</v>
      </c>
    </row>
    <row r="348" customFormat="false" ht="15" hidden="false" customHeight="false" outlineLevel="0" collapsed="false">
      <c r="A348" s="21" t="s">
        <v>632</v>
      </c>
      <c r="B348" s="3" t="s">
        <v>633</v>
      </c>
      <c r="C348" s="3" t="s">
        <v>604</v>
      </c>
      <c r="D348" s="3" t="n">
        <v>32.65</v>
      </c>
      <c r="E348" s="3" t="n">
        <v>-85.38</v>
      </c>
    </row>
    <row r="349" customFormat="false" ht="15" hidden="false" customHeight="false" outlineLevel="0" collapsed="false">
      <c r="A349" s="21" t="s">
        <v>634</v>
      </c>
      <c r="B349" s="3" t="s">
        <v>635</v>
      </c>
      <c r="C349" s="3" t="s">
        <v>636</v>
      </c>
      <c r="D349" s="3" t="n">
        <v>32.3643</v>
      </c>
      <c r="E349" s="3" t="n">
        <v>-88.7037</v>
      </c>
    </row>
    <row r="350" customFormat="false" ht="15" hidden="false" customHeight="false" outlineLevel="0" collapsed="false">
      <c r="A350" s="21" t="s">
        <v>637</v>
      </c>
      <c r="B350" s="3" t="s">
        <v>638</v>
      </c>
      <c r="C350" s="3" t="s">
        <v>538</v>
      </c>
      <c r="D350" s="3" t="n">
        <v>36.1627</v>
      </c>
      <c r="E350" s="3" t="n">
        <v>-86.7816</v>
      </c>
    </row>
    <row r="351" customFormat="false" ht="15" hidden="false" customHeight="false" outlineLevel="0" collapsed="false">
      <c r="A351" s="21" t="s">
        <v>639</v>
      </c>
      <c r="B351" s="3" t="s">
        <v>638</v>
      </c>
      <c r="C351" s="3" t="s">
        <v>538</v>
      </c>
      <c r="D351" s="3" t="n">
        <v>36.1627</v>
      </c>
      <c r="E351" s="3" t="n">
        <v>-86.7816</v>
      </c>
    </row>
    <row r="352" customFormat="false" ht="15" hidden="false" customHeight="false" outlineLevel="0" collapsed="false">
      <c r="A352" s="21" t="s">
        <v>640</v>
      </c>
      <c r="B352" s="3" t="s">
        <v>638</v>
      </c>
      <c r="C352" s="3" t="s">
        <v>538</v>
      </c>
      <c r="D352" s="3" t="n">
        <v>36.1627</v>
      </c>
      <c r="E352" s="3" t="n">
        <v>-86.7816</v>
      </c>
    </row>
    <row r="353" customFormat="false" ht="15" hidden="false" customHeight="false" outlineLevel="0" collapsed="false">
      <c r="A353" s="21" t="s">
        <v>641</v>
      </c>
      <c r="B353" s="3" t="s">
        <v>537</v>
      </c>
      <c r="C353" s="3" t="s">
        <v>538</v>
      </c>
      <c r="D353" s="3" t="n">
        <v>35.0456</v>
      </c>
      <c r="E353" s="3" t="n">
        <v>-85.3097</v>
      </c>
    </row>
    <row r="354" customFormat="false" ht="15" hidden="false" customHeight="false" outlineLevel="0" collapsed="false">
      <c r="A354" s="21" t="s">
        <v>642</v>
      </c>
      <c r="B354" s="3" t="s">
        <v>537</v>
      </c>
      <c r="C354" s="3" t="s">
        <v>538</v>
      </c>
      <c r="D354" s="3" t="n">
        <v>35.0456</v>
      </c>
      <c r="E354" s="3" t="n">
        <v>-85.3097</v>
      </c>
    </row>
    <row r="355" customFormat="false" ht="15" hidden="false" customHeight="false" outlineLevel="0" collapsed="false">
      <c r="A355" s="21" t="s">
        <v>643</v>
      </c>
      <c r="B355" s="3" t="s">
        <v>644</v>
      </c>
      <c r="C355" s="3" t="s">
        <v>538</v>
      </c>
      <c r="D355" s="3" t="n">
        <v>35.1495</v>
      </c>
      <c r="E355" s="3" t="n">
        <v>-90.049</v>
      </c>
    </row>
    <row r="356" customFormat="false" ht="15" hidden="false" customHeight="false" outlineLevel="0" collapsed="false">
      <c r="A356" s="21" t="s">
        <v>645</v>
      </c>
      <c r="B356" s="3" t="s">
        <v>646</v>
      </c>
      <c r="C356" s="3" t="s">
        <v>538</v>
      </c>
      <c r="D356" s="3" t="n">
        <v>36.3134</v>
      </c>
      <c r="E356" s="3" t="n">
        <v>-82.3535</v>
      </c>
    </row>
    <row r="357" customFormat="false" ht="15" hidden="false" customHeight="false" outlineLevel="0" collapsed="false">
      <c r="A357" s="21" t="s">
        <v>647</v>
      </c>
      <c r="B357" s="3" t="s">
        <v>648</v>
      </c>
      <c r="C357" s="3" t="s">
        <v>538</v>
      </c>
      <c r="D357" s="3" t="n">
        <v>35.9606</v>
      </c>
      <c r="E357" s="3" t="n">
        <v>-83.9207</v>
      </c>
    </row>
    <row r="358" customFormat="false" ht="15" hidden="false" customHeight="false" outlineLevel="0" collapsed="false">
      <c r="A358" s="21" t="s">
        <v>649</v>
      </c>
      <c r="B358" s="3" t="s">
        <v>648</v>
      </c>
      <c r="C358" s="3" t="s">
        <v>538</v>
      </c>
      <c r="D358" s="3" t="n">
        <v>35.9606</v>
      </c>
      <c r="E358" s="3" t="n">
        <v>-83.9207</v>
      </c>
    </row>
    <row r="359" customFormat="false" ht="15" hidden="false" customHeight="false" outlineLevel="0" collapsed="false">
      <c r="A359" s="21" t="s">
        <v>650</v>
      </c>
      <c r="B359" s="3" t="s">
        <v>648</v>
      </c>
      <c r="C359" s="3" t="s">
        <v>538</v>
      </c>
      <c r="D359" s="3" t="n">
        <v>35.9606</v>
      </c>
      <c r="E359" s="3" t="n">
        <v>-83.9207</v>
      </c>
    </row>
    <row r="360" customFormat="false" ht="15" hidden="false" customHeight="false" outlineLevel="0" collapsed="false">
      <c r="A360" s="21" t="s">
        <v>651</v>
      </c>
      <c r="B360" s="3" t="s">
        <v>644</v>
      </c>
      <c r="C360" s="3" t="s">
        <v>538</v>
      </c>
      <c r="D360" s="3" t="n">
        <v>35.1495</v>
      </c>
      <c r="E360" s="3" t="n">
        <v>-90.049</v>
      </c>
    </row>
    <row r="361" customFormat="false" ht="15" hidden="false" customHeight="false" outlineLevel="0" collapsed="false">
      <c r="A361" s="21" t="s">
        <v>652</v>
      </c>
      <c r="B361" s="3" t="s">
        <v>644</v>
      </c>
      <c r="C361" s="3" t="s">
        <v>538</v>
      </c>
      <c r="D361" s="3" t="n">
        <v>35.1495</v>
      </c>
      <c r="E361" s="3" t="n">
        <v>-90.049</v>
      </c>
    </row>
    <row r="362" customFormat="false" ht="15" hidden="false" customHeight="false" outlineLevel="0" collapsed="false">
      <c r="A362" s="21" t="s">
        <v>653</v>
      </c>
      <c r="B362" s="3" t="s">
        <v>654</v>
      </c>
      <c r="C362" s="3" t="s">
        <v>538</v>
      </c>
      <c r="D362" s="3" t="n">
        <v>36.13</v>
      </c>
      <c r="E362" s="3" t="n">
        <v>-88.52</v>
      </c>
    </row>
    <row r="363" customFormat="false" ht="15" hidden="false" customHeight="false" outlineLevel="0" collapsed="false">
      <c r="A363" s="21" t="s">
        <v>655</v>
      </c>
      <c r="B363" s="3" t="s">
        <v>656</v>
      </c>
      <c r="C363" s="3" t="s">
        <v>538</v>
      </c>
      <c r="D363" s="3" t="n">
        <v>35.6145</v>
      </c>
      <c r="E363" s="3" t="n">
        <v>-88.8139</v>
      </c>
    </row>
    <row r="364" customFormat="false" ht="15" hidden="false" customHeight="false" outlineLevel="0" collapsed="false">
      <c r="A364" s="21" t="s">
        <v>657</v>
      </c>
      <c r="B364" s="3" t="s">
        <v>509</v>
      </c>
      <c r="C364" s="3" t="s">
        <v>538</v>
      </c>
      <c r="D364" s="3" t="n">
        <v>35.62</v>
      </c>
      <c r="E364" s="3" t="n">
        <v>-87.04</v>
      </c>
    </row>
    <row r="365" customFormat="false" ht="15" hidden="false" customHeight="false" outlineLevel="0" collapsed="false">
      <c r="A365" s="21" t="s">
        <v>658</v>
      </c>
      <c r="B365" s="3" t="s">
        <v>659</v>
      </c>
      <c r="C365" s="3" t="s">
        <v>538</v>
      </c>
      <c r="D365" s="3" t="n">
        <v>36.16</v>
      </c>
      <c r="E365" s="3" t="n">
        <v>-85.5</v>
      </c>
    </row>
    <row r="366" customFormat="false" ht="15" hidden="false" customHeight="false" outlineLevel="0" collapsed="false">
      <c r="A366" s="21" t="s">
        <v>660</v>
      </c>
      <c r="B366" s="3" t="s">
        <v>644</v>
      </c>
      <c r="C366" s="3" t="s">
        <v>538</v>
      </c>
      <c r="D366" s="3" t="n">
        <v>35.1495</v>
      </c>
      <c r="E366" s="3" t="n">
        <v>-90.049</v>
      </c>
    </row>
    <row r="367" customFormat="false" ht="15" hidden="false" customHeight="false" outlineLevel="0" collapsed="false">
      <c r="A367" s="21" t="s">
        <v>661</v>
      </c>
      <c r="B367" s="3" t="s">
        <v>519</v>
      </c>
      <c r="C367" s="3" t="s">
        <v>636</v>
      </c>
      <c r="D367" s="3" t="n">
        <v>33.41</v>
      </c>
      <c r="E367" s="3" t="n">
        <v>-91.06</v>
      </c>
    </row>
    <row r="368" customFormat="false" ht="15" hidden="false" customHeight="false" outlineLevel="0" collapsed="false">
      <c r="A368" s="21" t="s">
        <v>662</v>
      </c>
      <c r="B368" s="3" t="s">
        <v>663</v>
      </c>
      <c r="C368" s="3" t="s">
        <v>636</v>
      </c>
      <c r="D368" s="3" t="n">
        <v>34.26</v>
      </c>
      <c r="E368" s="3" t="n">
        <v>-88.7</v>
      </c>
    </row>
    <row r="369" customFormat="false" ht="15" hidden="false" customHeight="false" outlineLevel="0" collapsed="false">
      <c r="A369" s="21" t="s">
        <v>664</v>
      </c>
      <c r="B369" s="3" t="s">
        <v>665</v>
      </c>
      <c r="C369" s="3" t="s">
        <v>636</v>
      </c>
      <c r="D369" s="3" t="n">
        <v>33.77</v>
      </c>
      <c r="E369" s="3" t="n">
        <v>-89.81</v>
      </c>
    </row>
    <row r="370" customFormat="false" ht="15" hidden="false" customHeight="false" outlineLevel="0" collapsed="false">
      <c r="A370" s="21" t="s">
        <v>666</v>
      </c>
      <c r="B370" s="3" t="s">
        <v>656</v>
      </c>
      <c r="C370" s="3" t="s">
        <v>636</v>
      </c>
      <c r="D370" s="3" t="n">
        <v>32.2988</v>
      </c>
      <c r="E370" s="3" t="n">
        <v>-90.1848</v>
      </c>
    </row>
    <row r="371" customFormat="false" ht="15" hidden="false" customHeight="false" outlineLevel="0" collapsed="false">
      <c r="A371" s="21" t="s">
        <v>667</v>
      </c>
      <c r="B371" s="3" t="s">
        <v>656</v>
      </c>
      <c r="C371" s="3" t="s">
        <v>636</v>
      </c>
      <c r="D371" s="3" t="n">
        <v>32.2988</v>
      </c>
      <c r="E371" s="3" t="n">
        <v>-90.1848</v>
      </c>
    </row>
    <row r="372" customFormat="false" ht="15" hidden="false" customHeight="false" outlineLevel="0" collapsed="false">
      <c r="A372" s="21" t="s">
        <v>668</v>
      </c>
      <c r="B372" s="3" t="s">
        <v>656</v>
      </c>
      <c r="C372" s="3" t="s">
        <v>636</v>
      </c>
      <c r="D372" s="3" t="n">
        <v>32.2988</v>
      </c>
      <c r="E372" s="3" t="n">
        <v>-90.1848</v>
      </c>
    </row>
    <row r="373" customFormat="false" ht="15" hidden="false" customHeight="false" outlineLevel="0" collapsed="false">
      <c r="A373" s="21" t="s">
        <v>669</v>
      </c>
      <c r="B373" s="3" t="s">
        <v>635</v>
      </c>
      <c r="C373" s="3" t="s">
        <v>636</v>
      </c>
      <c r="D373" s="3" t="n">
        <v>32.3643</v>
      </c>
      <c r="E373" s="3" t="n">
        <v>-88.7037</v>
      </c>
    </row>
    <row r="374" customFormat="false" ht="15" hidden="false" customHeight="false" outlineLevel="0" collapsed="false">
      <c r="A374" s="21" t="s">
        <v>670</v>
      </c>
      <c r="B374" s="3" t="s">
        <v>671</v>
      </c>
      <c r="C374" s="3" t="s">
        <v>636</v>
      </c>
      <c r="D374" s="3" t="n">
        <v>31.3271</v>
      </c>
      <c r="E374" s="3" t="n">
        <v>-89.2903</v>
      </c>
    </row>
    <row r="375" customFormat="false" ht="15" hidden="false" customHeight="false" outlineLevel="0" collapsed="false">
      <c r="A375" s="21" t="s">
        <v>672</v>
      </c>
      <c r="B375" s="3" t="s">
        <v>673</v>
      </c>
      <c r="C375" s="3" t="s">
        <v>636</v>
      </c>
      <c r="D375" s="3" t="n">
        <v>30.3674</v>
      </c>
      <c r="E375" s="3" t="n">
        <v>-89.0928</v>
      </c>
    </row>
    <row r="376" customFormat="false" ht="15" hidden="false" customHeight="false" outlineLevel="0" collapsed="false">
      <c r="A376" s="21" t="s">
        <v>674</v>
      </c>
      <c r="B376" s="3" t="s">
        <v>675</v>
      </c>
      <c r="C376" s="3" t="s">
        <v>636</v>
      </c>
      <c r="D376" s="3" t="n">
        <v>31.58</v>
      </c>
      <c r="E376" s="3" t="n">
        <v>-90.44</v>
      </c>
    </row>
    <row r="377" customFormat="false" ht="15" hidden="false" customHeight="false" outlineLevel="0" collapsed="false">
      <c r="A377" s="21" t="s">
        <v>676</v>
      </c>
      <c r="B377" s="3" t="s">
        <v>554</v>
      </c>
      <c r="C377" s="3" t="s">
        <v>636</v>
      </c>
      <c r="D377" s="3" t="n">
        <v>33.5</v>
      </c>
      <c r="E377" s="3" t="n">
        <v>-88.43</v>
      </c>
    </row>
    <row r="378" customFormat="false" ht="15" hidden="false" customHeight="false" outlineLevel="0" collapsed="false">
      <c r="A378" s="21" t="s">
        <v>677</v>
      </c>
      <c r="B378" s="3" t="s">
        <v>227</v>
      </c>
      <c r="C378" s="3" t="s">
        <v>522</v>
      </c>
      <c r="D378" s="3" t="n">
        <v>31.5785</v>
      </c>
      <c r="E378" s="3" t="n">
        <v>-84.1557</v>
      </c>
    </row>
    <row r="379" customFormat="false" ht="15" hidden="false" customHeight="false" outlineLevel="0" collapsed="false">
      <c r="A379" s="21" t="s">
        <v>678</v>
      </c>
      <c r="B379" s="3" t="s">
        <v>526</v>
      </c>
      <c r="C379" s="3" t="s">
        <v>522</v>
      </c>
      <c r="D379" s="3" t="n">
        <v>33.749</v>
      </c>
      <c r="E379" s="3" t="n">
        <v>-84.388</v>
      </c>
    </row>
    <row r="380" customFormat="false" ht="15" hidden="false" customHeight="false" outlineLevel="0" collapsed="false">
      <c r="A380" s="21" t="s">
        <v>679</v>
      </c>
      <c r="B380" s="3" t="s">
        <v>680</v>
      </c>
      <c r="C380" s="3" t="s">
        <v>681</v>
      </c>
      <c r="D380" s="3" t="n">
        <v>38.2527</v>
      </c>
      <c r="E380" s="3" t="n">
        <v>-85.7585</v>
      </c>
    </row>
    <row r="381" customFormat="false" ht="15" hidden="false" customHeight="false" outlineLevel="0" collapsed="false">
      <c r="A381" s="21" t="s">
        <v>682</v>
      </c>
      <c r="B381" s="3" t="s">
        <v>680</v>
      </c>
      <c r="C381" s="3" t="s">
        <v>681</v>
      </c>
      <c r="D381" s="3" t="n">
        <v>38.2527</v>
      </c>
      <c r="E381" s="3" t="n">
        <v>-85.7585</v>
      </c>
    </row>
    <row r="382" customFormat="false" ht="15" hidden="false" customHeight="false" outlineLevel="0" collapsed="false">
      <c r="A382" s="21" t="s">
        <v>683</v>
      </c>
      <c r="B382" s="3" t="s">
        <v>680</v>
      </c>
      <c r="C382" s="3" t="s">
        <v>681</v>
      </c>
      <c r="D382" s="3" t="n">
        <v>38.2527</v>
      </c>
      <c r="E382" s="3" t="n">
        <v>-85.7585</v>
      </c>
    </row>
    <row r="383" customFormat="false" ht="15" hidden="false" customHeight="false" outlineLevel="0" collapsed="false">
      <c r="A383" s="21" t="s">
        <v>684</v>
      </c>
      <c r="B383" s="3" t="s">
        <v>69</v>
      </c>
      <c r="C383" s="3" t="s">
        <v>681</v>
      </c>
      <c r="D383" s="3" t="n">
        <v>38.04</v>
      </c>
      <c r="E383" s="3" t="n">
        <v>-84.5</v>
      </c>
    </row>
    <row r="384" customFormat="false" ht="15" hidden="false" customHeight="false" outlineLevel="0" collapsed="false">
      <c r="A384" s="21" t="s">
        <v>685</v>
      </c>
      <c r="B384" s="3" t="s">
        <v>69</v>
      </c>
      <c r="C384" s="3" t="s">
        <v>681</v>
      </c>
      <c r="D384" s="3" t="n">
        <v>38.04</v>
      </c>
      <c r="E384" s="3" t="n">
        <v>-84.5</v>
      </c>
    </row>
    <row r="385" customFormat="false" ht="15" hidden="false" customHeight="false" outlineLevel="0" collapsed="false">
      <c r="A385" s="21" t="s">
        <v>686</v>
      </c>
      <c r="B385" s="3" t="s">
        <v>69</v>
      </c>
      <c r="C385" s="3" t="s">
        <v>681</v>
      </c>
      <c r="D385" s="3" t="n">
        <v>38.04</v>
      </c>
      <c r="E385" s="3" t="n">
        <v>-84.5</v>
      </c>
    </row>
    <row r="386" customFormat="false" ht="15" hidden="false" customHeight="false" outlineLevel="0" collapsed="false">
      <c r="A386" s="21" t="s">
        <v>687</v>
      </c>
      <c r="B386" s="3" t="s">
        <v>688</v>
      </c>
      <c r="C386" s="3" t="s">
        <v>681</v>
      </c>
      <c r="D386" s="3" t="n">
        <v>38.2</v>
      </c>
      <c r="E386" s="3" t="n">
        <v>-84.87</v>
      </c>
    </row>
    <row r="387" customFormat="false" ht="15" hidden="false" customHeight="false" outlineLevel="0" collapsed="false">
      <c r="A387" s="21" t="s">
        <v>689</v>
      </c>
      <c r="B387" s="3" t="s">
        <v>690</v>
      </c>
      <c r="C387" s="3" t="s">
        <v>681</v>
      </c>
      <c r="D387" s="3" t="n">
        <v>36.95</v>
      </c>
      <c r="E387" s="3" t="n">
        <v>-84.1</v>
      </c>
    </row>
    <row r="388" customFormat="false" ht="15" hidden="false" customHeight="false" outlineLevel="0" collapsed="false">
      <c r="A388" s="21" t="s">
        <v>691</v>
      </c>
      <c r="B388" s="3" t="s">
        <v>690</v>
      </c>
      <c r="C388" s="3" t="s">
        <v>681</v>
      </c>
      <c r="D388" s="3" t="n">
        <v>36.95</v>
      </c>
      <c r="E388" s="3" t="n">
        <v>-84.1</v>
      </c>
    </row>
    <row r="389" customFormat="false" ht="15" hidden="false" customHeight="false" outlineLevel="0" collapsed="false">
      <c r="A389" s="21" t="s">
        <v>692</v>
      </c>
      <c r="B389" s="3" t="s">
        <v>690</v>
      </c>
      <c r="C389" s="3" t="s">
        <v>681</v>
      </c>
      <c r="D389" s="3" t="n">
        <v>36.95</v>
      </c>
      <c r="E389" s="3" t="n">
        <v>-84.1</v>
      </c>
    </row>
    <row r="390" customFormat="false" ht="15" hidden="false" customHeight="false" outlineLevel="0" collapsed="false">
      <c r="A390" s="21" t="s">
        <v>693</v>
      </c>
      <c r="B390" s="3" t="s">
        <v>694</v>
      </c>
      <c r="C390" s="3" t="s">
        <v>695</v>
      </c>
      <c r="D390" s="3" t="n">
        <v>39.1031</v>
      </c>
      <c r="E390" s="3" t="n">
        <v>-84.512</v>
      </c>
    </row>
    <row r="391" customFormat="false" ht="15" hidden="false" customHeight="false" outlineLevel="0" collapsed="false">
      <c r="A391" s="21" t="s">
        <v>696</v>
      </c>
      <c r="B391" s="3" t="s">
        <v>697</v>
      </c>
      <c r="C391" s="3" t="s">
        <v>681</v>
      </c>
      <c r="D391" s="3" t="n">
        <v>38.48</v>
      </c>
      <c r="E391" s="3" t="n">
        <v>-82.64</v>
      </c>
    </row>
    <row r="392" customFormat="false" ht="15" hidden="false" customHeight="false" outlineLevel="0" collapsed="false">
      <c r="A392" s="21" t="s">
        <v>698</v>
      </c>
      <c r="B392" s="3" t="s">
        <v>697</v>
      </c>
      <c r="C392" s="3" t="s">
        <v>681</v>
      </c>
      <c r="D392" s="3" t="n">
        <v>38.48</v>
      </c>
      <c r="E392" s="3" t="n">
        <v>-82.64</v>
      </c>
    </row>
    <row r="393" customFormat="false" ht="15" hidden="false" customHeight="false" outlineLevel="0" collapsed="false">
      <c r="A393" s="21" t="s">
        <v>699</v>
      </c>
      <c r="B393" s="3" t="s">
        <v>700</v>
      </c>
      <c r="C393" s="3" t="s">
        <v>681</v>
      </c>
      <c r="D393" s="3" t="n">
        <v>37.73</v>
      </c>
      <c r="E393" s="3" t="n">
        <v>-83.55</v>
      </c>
    </row>
    <row r="394" customFormat="false" ht="15" hidden="false" customHeight="false" outlineLevel="0" collapsed="false">
      <c r="A394" s="21" t="s">
        <v>701</v>
      </c>
      <c r="B394" s="3" t="s">
        <v>700</v>
      </c>
      <c r="C394" s="3" t="s">
        <v>681</v>
      </c>
      <c r="D394" s="3" t="n">
        <v>37.73</v>
      </c>
      <c r="E394" s="3" t="n">
        <v>-83.55</v>
      </c>
    </row>
    <row r="395" customFormat="false" ht="15" hidden="false" customHeight="false" outlineLevel="0" collapsed="false">
      <c r="A395" s="21" t="s">
        <v>702</v>
      </c>
      <c r="B395" s="3" t="s">
        <v>703</v>
      </c>
      <c r="C395" s="3" t="s">
        <v>681</v>
      </c>
      <c r="D395" s="3" t="n">
        <v>37.48</v>
      </c>
      <c r="E395" s="3" t="n">
        <v>-82.52</v>
      </c>
    </row>
    <row r="396" customFormat="false" ht="15" hidden="false" customHeight="false" outlineLevel="0" collapsed="false">
      <c r="A396" s="21" t="s">
        <v>704</v>
      </c>
      <c r="B396" s="3" t="s">
        <v>703</v>
      </c>
      <c r="C396" s="3" t="s">
        <v>681</v>
      </c>
      <c r="D396" s="3" t="n">
        <v>37.48</v>
      </c>
      <c r="E396" s="3" t="n">
        <v>-82.52</v>
      </c>
    </row>
    <row r="397" customFormat="false" ht="15" hidden="false" customHeight="false" outlineLevel="0" collapsed="false">
      <c r="A397" s="21" t="s">
        <v>705</v>
      </c>
      <c r="B397" s="3" t="s">
        <v>706</v>
      </c>
      <c r="C397" s="3" t="s">
        <v>681</v>
      </c>
      <c r="D397" s="3" t="n">
        <v>37.25</v>
      </c>
      <c r="E397" s="3" t="n">
        <v>-83.19</v>
      </c>
    </row>
    <row r="398" customFormat="false" ht="15" hidden="false" customHeight="false" outlineLevel="0" collapsed="false">
      <c r="A398" s="21" t="s">
        <v>707</v>
      </c>
      <c r="B398" s="3" t="s">
        <v>706</v>
      </c>
      <c r="C398" s="3" t="s">
        <v>681</v>
      </c>
      <c r="D398" s="3" t="n">
        <v>37.25</v>
      </c>
      <c r="E398" s="3" t="n">
        <v>-83.19</v>
      </c>
    </row>
    <row r="399" customFormat="false" ht="15" hidden="false" customHeight="false" outlineLevel="0" collapsed="false">
      <c r="A399" s="21" t="s">
        <v>708</v>
      </c>
      <c r="B399" s="3" t="s">
        <v>709</v>
      </c>
      <c r="C399" s="3" t="s">
        <v>681</v>
      </c>
      <c r="D399" s="3" t="n">
        <v>37.08</v>
      </c>
      <c r="E399" s="3" t="n">
        <v>-88.6</v>
      </c>
    </row>
    <row r="400" customFormat="false" ht="15" hidden="false" customHeight="false" outlineLevel="0" collapsed="false">
      <c r="A400" s="21" t="s">
        <v>710</v>
      </c>
      <c r="B400" s="3" t="s">
        <v>711</v>
      </c>
      <c r="C400" s="3" t="s">
        <v>681</v>
      </c>
      <c r="D400" s="3" t="n">
        <v>36.9685</v>
      </c>
      <c r="E400" s="3" t="n">
        <v>-86.4808</v>
      </c>
    </row>
    <row r="401" customFormat="false" ht="15" hidden="false" customHeight="false" outlineLevel="0" collapsed="false">
      <c r="A401" s="21" t="s">
        <v>712</v>
      </c>
      <c r="B401" s="3" t="s">
        <v>711</v>
      </c>
      <c r="C401" s="3" t="s">
        <v>681</v>
      </c>
      <c r="D401" s="3" t="n">
        <v>36.9685</v>
      </c>
      <c r="E401" s="3" t="n">
        <v>-86.4808</v>
      </c>
    </row>
    <row r="402" customFormat="false" ht="15" hidden="false" customHeight="false" outlineLevel="0" collapsed="false">
      <c r="A402" s="21" t="s">
        <v>713</v>
      </c>
      <c r="B402" s="3" t="s">
        <v>714</v>
      </c>
      <c r="C402" s="3" t="s">
        <v>681</v>
      </c>
      <c r="D402" s="3" t="n">
        <v>37.7719</v>
      </c>
      <c r="E402" s="3" t="n">
        <v>-87.1112</v>
      </c>
    </row>
    <row r="403" customFormat="false" ht="15" hidden="false" customHeight="false" outlineLevel="0" collapsed="false">
      <c r="A403" s="21" t="s">
        <v>715</v>
      </c>
      <c r="B403" s="3" t="s">
        <v>716</v>
      </c>
      <c r="C403" s="3" t="s">
        <v>717</v>
      </c>
      <c r="D403" s="3" t="n">
        <v>37.9716</v>
      </c>
      <c r="E403" s="3" t="n">
        <v>-87.5711</v>
      </c>
    </row>
    <row r="404" customFormat="false" ht="15" hidden="false" customHeight="false" outlineLevel="0" collapsed="false">
      <c r="A404" s="21" t="s">
        <v>718</v>
      </c>
      <c r="B404" s="3" t="s">
        <v>282</v>
      </c>
      <c r="C404" s="3" t="s">
        <v>681</v>
      </c>
      <c r="D404" s="3" t="n">
        <v>37.09</v>
      </c>
      <c r="E404" s="3" t="n">
        <v>-84.6</v>
      </c>
    </row>
    <row r="405" customFormat="false" ht="15" hidden="false" customHeight="false" outlineLevel="0" collapsed="false">
      <c r="A405" s="21" t="s">
        <v>719</v>
      </c>
      <c r="B405" s="3" t="s">
        <v>227</v>
      </c>
      <c r="C405" s="3" t="s">
        <v>681</v>
      </c>
      <c r="D405" s="3" t="n">
        <v>36.69</v>
      </c>
      <c r="E405" s="3" t="n">
        <v>-85.13</v>
      </c>
    </row>
    <row r="406" customFormat="false" ht="15" hidden="false" customHeight="false" outlineLevel="0" collapsed="false">
      <c r="A406" s="21" t="s">
        <v>720</v>
      </c>
      <c r="B406" s="3" t="s">
        <v>721</v>
      </c>
      <c r="C406" s="3" t="s">
        <v>681</v>
      </c>
      <c r="D406" s="3" t="n">
        <v>37.69</v>
      </c>
      <c r="E406" s="3" t="n">
        <v>-85.86</v>
      </c>
    </row>
    <row r="407" customFormat="false" ht="15" hidden="false" customHeight="false" outlineLevel="0" collapsed="false">
      <c r="A407" s="21" t="s">
        <v>722</v>
      </c>
      <c r="B407" s="3" t="s">
        <v>554</v>
      </c>
      <c r="C407" s="3" t="s">
        <v>695</v>
      </c>
      <c r="D407" s="3" t="n">
        <v>39.9612</v>
      </c>
      <c r="E407" s="3" t="n">
        <v>-82.9988</v>
      </c>
    </row>
    <row r="408" customFormat="false" ht="15" hidden="false" customHeight="false" outlineLevel="0" collapsed="false">
      <c r="A408" s="21" t="s">
        <v>723</v>
      </c>
      <c r="B408" s="3" t="s">
        <v>554</v>
      </c>
      <c r="C408" s="3" t="s">
        <v>695</v>
      </c>
      <c r="D408" s="3" t="n">
        <v>39.9612</v>
      </c>
      <c r="E408" s="3" t="n">
        <v>-82.9988</v>
      </c>
    </row>
    <row r="409" customFormat="false" ht="15" hidden="false" customHeight="false" outlineLevel="0" collapsed="false">
      <c r="A409" s="21" t="s">
        <v>724</v>
      </c>
      <c r="B409" s="3" t="s">
        <v>554</v>
      </c>
      <c r="C409" s="3" t="s">
        <v>695</v>
      </c>
      <c r="D409" s="3" t="n">
        <v>39.9612</v>
      </c>
      <c r="E409" s="3" t="n">
        <v>-82.9988</v>
      </c>
    </row>
    <row r="410" customFormat="false" ht="15" hidden="false" customHeight="false" outlineLevel="0" collapsed="false">
      <c r="A410" s="21" t="s">
        <v>725</v>
      </c>
      <c r="B410" s="3" t="s">
        <v>726</v>
      </c>
      <c r="C410" s="3" t="s">
        <v>695</v>
      </c>
      <c r="D410" s="3" t="n">
        <v>40.59</v>
      </c>
      <c r="E410" s="3" t="n">
        <v>-83.13</v>
      </c>
    </row>
    <row r="411" customFormat="false" ht="15" hidden="false" customHeight="false" outlineLevel="0" collapsed="false">
      <c r="A411" s="21" t="s">
        <v>727</v>
      </c>
      <c r="B411" s="3" t="s">
        <v>728</v>
      </c>
      <c r="C411" s="3" t="s">
        <v>695</v>
      </c>
      <c r="D411" s="3" t="n">
        <v>41.6639</v>
      </c>
      <c r="E411" s="3" t="n">
        <v>-83.5552</v>
      </c>
    </row>
    <row r="412" customFormat="false" ht="15" hidden="false" customHeight="false" outlineLevel="0" collapsed="false">
      <c r="A412" s="21" t="s">
        <v>729</v>
      </c>
      <c r="B412" s="3" t="s">
        <v>728</v>
      </c>
      <c r="C412" s="3" t="s">
        <v>695</v>
      </c>
      <c r="D412" s="3" t="n">
        <v>41.6639</v>
      </c>
      <c r="E412" s="3" t="n">
        <v>-83.5552</v>
      </c>
    </row>
    <row r="413" customFormat="false" ht="15" hidden="false" customHeight="false" outlineLevel="0" collapsed="false">
      <c r="A413" s="21" t="s">
        <v>730</v>
      </c>
      <c r="B413" s="3" t="s">
        <v>728</v>
      </c>
      <c r="C413" s="3" t="s">
        <v>695</v>
      </c>
      <c r="D413" s="3" t="n">
        <v>41.6639</v>
      </c>
      <c r="E413" s="3" t="n">
        <v>-83.5552</v>
      </c>
    </row>
    <row r="414" customFormat="false" ht="15" hidden="false" customHeight="false" outlineLevel="0" collapsed="false">
      <c r="A414" s="21" t="s">
        <v>731</v>
      </c>
      <c r="B414" s="3" t="s">
        <v>732</v>
      </c>
      <c r="C414" s="3" t="s">
        <v>695</v>
      </c>
      <c r="D414" s="3" t="n">
        <v>39.94</v>
      </c>
      <c r="E414" s="3" t="n">
        <v>-82.01</v>
      </c>
    </row>
    <row r="415" customFormat="false" ht="15" hidden="false" customHeight="false" outlineLevel="0" collapsed="false">
      <c r="A415" s="21" t="s">
        <v>733</v>
      </c>
      <c r="B415" s="3" t="s">
        <v>732</v>
      </c>
      <c r="C415" s="3" t="s">
        <v>695</v>
      </c>
      <c r="D415" s="3" t="n">
        <v>39.94</v>
      </c>
      <c r="E415" s="3" t="n">
        <v>-82.01</v>
      </c>
    </row>
    <row r="416" customFormat="false" ht="15" hidden="false" customHeight="false" outlineLevel="0" collapsed="false">
      <c r="A416" s="21" t="s">
        <v>734</v>
      </c>
      <c r="B416" s="3" t="s">
        <v>735</v>
      </c>
      <c r="C416" s="3" t="s">
        <v>695</v>
      </c>
      <c r="D416" s="3" t="n">
        <v>40.37</v>
      </c>
      <c r="E416" s="3" t="n">
        <v>-80.63</v>
      </c>
    </row>
    <row r="417" customFormat="false" ht="15" hidden="false" customHeight="false" outlineLevel="0" collapsed="false">
      <c r="A417" s="21" t="s">
        <v>736</v>
      </c>
      <c r="B417" s="3" t="s">
        <v>737</v>
      </c>
      <c r="C417" s="3" t="s">
        <v>695</v>
      </c>
      <c r="D417" s="3" t="n">
        <v>41.4993</v>
      </c>
      <c r="E417" s="3" t="n">
        <v>-81.6944</v>
      </c>
    </row>
    <row r="418" customFormat="false" ht="15" hidden="false" customHeight="false" outlineLevel="0" collapsed="false">
      <c r="A418" s="21" t="s">
        <v>738</v>
      </c>
      <c r="B418" s="3" t="s">
        <v>737</v>
      </c>
      <c r="C418" s="3" t="s">
        <v>695</v>
      </c>
      <c r="D418" s="3" t="n">
        <v>41.4993</v>
      </c>
      <c r="E418" s="3" t="n">
        <v>-81.6944</v>
      </c>
    </row>
    <row r="419" customFormat="false" ht="15" hidden="false" customHeight="false" outlineLevel="0" collapsed="false">
      <c r="A419" s="21" t="s">
        <v>739</v>
      </c>
      <c r="B419" s="3" t="s">
        <v>740</v>
      </c>
      <c r="C419" s="3" t="s">
        <v>695</v>
      </c>
      <c r="D419" s="3" t="n">
        <v>41.0814</v>
      </c>
      <c r="E419" s="3" t="n">
        <v>-81.519</v>
      </c>
    </row>
    <row r="420" customFormat="false" ht="15" hidden="false" customHeight="false" outlineLevel="0" collapsed="false">
      <c r="A420" s="21" t="s">
        <v>741</v>
      </c>
      <c r="B420" s="3" t="s">
        <v>740</v>
      </c>
      <c r="C420" s="3" t="s">
        <v>695</v>
      </c>
      <c r="D420" s="3" t="n">
        <v>41.0814</v>
      </c>
      <c r="E420" s="3" t="n">
        <v>-81.519</v>
      </c>
    </row>
    <row r="421" customFormat="false" ht="15" hidden="false" customHeight="false" outlineLevel="0" collapsed="false">
      <c r="A421" s="21" t="s">
        <v>742</v>
      </c>
      <c r="B421" s="3" t="s">
        <v>743</v>
      </c>
      <c r="C421" s="3" t="s">
        <v>695</v>
      </c>
      <c r="D421" s="3" t="n">
        <v>41.0998</v>
      </c>
      <c r="E421" s="3" t="n">
        <v>-80.6495</v>
      </c>
    </row>
    <row r="422" customFormat="false" ht="15" hidden="false" customHeight="false" outlineLevel="0" collapsed="false">
      <c r="A422" s="21" t="s">
        <v>744</v>
      </c>
      <c r="B422" s="3" t="s">
        <v>743</v>
      </c>
      <c r="C422" s="3" t="s">
        <v>695</v>
      </c>
      <c r="D422" s="3" t="n">
        <v>41.0998</v>
      </c>
      <c r="E422" s="3" t="n">
        <v>-80.6495</v>
      </c>
    </row>
    <row r="423" customFormat="false" ht="15" hidden="false" customHeight="false" outlineLevel="0" collapsed="false">
      <c r="A423" s="21" t="s">
        <v>745</v>
      </c>
      <c r="B423" s="3" t="s">
        <v>746</v>
      </c>
      <c r="C423" s="3" t="s">
        <v>695</v>
      </c>
      <c r="D423" s="3" t="n">
        <v>40.7989</v>
      </c>
      <c r="E423" s="3" t="n">
        <v>-81.3784</v>
      </c>
    </row>
    <row r="424" customFormat="false" ht="15" hidden="false" customHeight="false" outlineLevel="0" collapsed="false">
      <c r="A424" s="21" t="s">
        <v>747</v>
      </c>
      <c r="B424" s="3" t="s">
        <v>746</v>
      </c>
      <c r="C424" s="3" t="s">
        <v>695</v>
      </c>
      <c r="D424" s="3" t="n">
        <v>40.7989</v>
      </c>
      <c r="E424" s="3" t="n">
        <v>-81.3784</v>
      </c>
    </row>
    <row r="425" customFormat="false" ht="15" hidden="false" customHeight="false" outlineLevel="0" collapsed="false">
      <c r="A425" s="21" t="s">
        <v>748</v>
      </c>
      <c r="B425" s="3" t="s">
        <v>749</v>
      </c>
      <c r="C425" s="3" t="s">
        <v>695</v>
      </c>
      <c r="D425" s="3" t="n">
        <v>40.7584</v>
      </c>
      <c r="E425" s="3" t="n">
        <v>-82.5154</v>
      </c>
    </row>
    <row r="426" customFormat="false" ht="15" hidden="false" customHeight="false" outlineLevel="0" collapsed="false">
      <c r="A426" s="21" t="s">
        <v>750</v>
      </c>
      <c r="B426" s="3" t="s">
        <v>749</v>
      </c>
      <c r="C426" s="3" t="s">
        <v>695</v>
      </c>
      <c r="D426" s="3" t="n">
        <v>40.7584</v>
      </c>
      <c r="E426" s="3" t="n">
        <v>-82.5154</v>
      </c>
    </row>
    <row r="427" customFormat="false" ht="15" hidden="false" customHeight="false" outlineLevel="0" collapsed="false">
      <c r="A427" s="21" t="s">
        <v>751</v>
      </c>
      <c r="B427" s="3" t="s">
        <v>694</v>
      </c>
      <c r="C427" s="3" t="s">
        <v>695</v>
      </c>
      <c r="D427" s="3" t="n">
        <v>39.1031</v>
      </c>
      <c r="E427" s="3" t="n">
        <v>-84.512</v>
      </c>
    </row>
    <row r="428" customFormat="false" ht="15" hidden="false" customHeight="false" outlineLevel="0" collapsed="false">
      <c r="A428" s="21" t="s">
        <v>752</v>
      </c>
      <c r="B428" s="3" t="s">
        <v>694</v>
      </c>
      <c r="C428" s="3" t="s">
        <v>695</v>
      </c>
      <c r="D428" s="3" t="n">
        <v>39.1031</v>
      </c>
      <c r="E428" s="3" t="n">
        <v>-84.512</v>
      </c>
    </row>
    <row r="429" customFormat="false" ht="15" hidden="false" customHeight="false" outlineLevel="0" collapsed="false">
      <c r="A429" s="21" t="s">
        <v>753</v>
      </c>
      <c r="B429" s="3" t="s">
        <v>694</v>
      </c>
      <c r="C429" s="3" t="s">
        <v>695</v>
      </c>
      <c r="D429" s="3" t="n">
        <v>39.1031</v>
      </c>
      <c r="E429" s="3" t="n">
        <v>-84.512</v>
      </c>
    </row>
    <row r="430" customFormat="false" ht="15" hidden="false" customHeight="false" outlineLevel="0" collapsed="false">
      <c r="A430" s="21" t="s">
        <v>754</v>
      </c>
      <c r="B430" s="3" t="s">
        <v>755</v>
      </c>
      <c r="C430" s="3" t="s">
        <v>695</v>
      </c>
      <c r="D430" s="3" t="n">
        <v>39.7589</v>
      </c>
      <c r="E430" s="3" t="n">
        <v>-84.1916</v>
      </c>
    </row>
    <row r="431" customFormat="false" ht="15" hidden="false" customHeight="false" outlineLevel="0" collapsed="false">
      <c r="A431" s="21" t="s">
        <v>756</v>
      </c>
      <c r="B431" s="3" t="s">
        <v>755</v>
      </c>
      <c r="C431" s="3" t="s">
        <v>695</v>
      </c>
      <c r="D431" s="3" t="n">
        <v>39.7589</v>
      </c>
      <c r="E431" s="3" t="n">
        <v>-84.1916</v>
      </c>
    </row>
    <row r="432" customFormat="false" ht="15" hidden="false" customHeight="false" outlineLevel="0" collapsed="false">
      <c r="A432" s="21" t="s">
        <v>757</v>
      </c>
      <c r="B432" s="3" t="s">
        <v>44</v>
      </c>
      <c r="C432" s="3" t="s">
        <v>695</v>
      </c>
      <c r="D432" s="3" t="n">
        <v>39.9242</v>
      </c>
      <c r="E432" s="3" t="n">
        <v>-83.8088</v>
      </c>
    </row>
    <row r="433" customFormat="false" ht="15" hidden="false" customHeight="false" outlineLevel="0" collapsed="false">
      <c r="A433" s="21" t="s">
        <v>758</v>
      </c>
      <c r="B433" s="3" t="s">
        <v>759</v>
      </c>
      <c r="C433" s="3" t="s">
        <v>695</v>
      </c>
      <c r="D433" s="3" t="n">
        <v>39.33</v>
      </c>
      <c r="E433" s="3" t="n">
        <v>-82.98</v>
      </c>
    </row>
    <row r="434" customFormat="false" ht="15" hidden="false" customHeight="false" outlineLevel="0" collapsed="false">
      <c r="A434" s="21" t="s">
        <v>760</v>
      </c>
      <c r="B434" s="3" t="s">
        <v>535</v>
      </c>
      <c r="C434" s="3" t="s">
        <v>695</v>
      </c>
      <c r="D434" s="3" t="n">
        <v>39.33</v>
      </c>
      <c r="E434" s="3" t="n">
        <v>-82.1</v>
      </c>
    </row>
    <row r="435" customFormat="false" ht="15" hidden="false" customHeight="false" outlineLevel="0" collapsed="false">
      <c r="A435" s="21" t="s">
        <v>761</v>
      </c>
      <c r="B435" s="3" t="s">
        <v>762</v>
      </c>
      <c r="C435" s="3" t="s">
        <v>695</v>
      </c>
      <c r="D435" s="3" t="n">
        <v>40.7426</v>
      </c>
      <c r="E435" s="3" t="n">
        <v>-84.1052</v>
      </c>
    </row>
    <row r="436" customFormat="false" ht="15" hidden="false" customHeight="false" outlineLevel="0" collapsed="false">
      <c r="A436" s="21" t="s">
        <v>763</v>
      </c>
      <c r="B436" s="3" t="s">
        <v>694</v>
      </c>
      <c r="C436" s="3" t="s">
        <v>695</v>
      </c>
      <c r="D436" s="3" t="n">
        <v>39.1031</v>
      </c>
      <c r="E436" s="3" t="n">
        <v>-84.512</v>
      </c>
    </row>
    <row r="437" customFormat="false" ht="15" hidden="false" customHeight="false" outlineLevel="0" collapsed="false">
      <c r="A437" s="21" t="s">
        <v>764</v>
      </c>
      <c r="B437" s="3" t="s">
        <v>765</v>
      </c>
      <c r="C437" s="3" t="s">
        <v>717</v>
      </c>
      <c r="D437" s="3" t="n">
        <v>39.7684</v>
      </c>
      <c r="E437" s="3" t="n">
        <v>-86.1581</v>
      </c>
    </row>
    <row r="438" customFormat="false" ht="15" hidden="false" customHeight="false" outlineLevel="0" collapsed="false">
      <c r="A438" s="21" t="s">
        <v>766</v>
      </c>
      <c r="B438" s="3" t="s">
        <v>765</v>
      </c>
      <c r="C438" s="3" t="s">
        <v>717</v>
      </c>
      <c r="D438" s="3" t="n">
        <v>39.7684</v>
      </c>
      <c r="E438" s="3" t="n">
        <v>-86.1581</v>
      </c>
    </row>
    <row r="439" customFormat="false" ht="15" hidden="false" customHeight="false" outlineLevel="0" collapsed="false">
      <c r="A439" s="21" t="s">
        <v>767</v>
      </c>
      <c r="B439" s="3" t="s">
        <v>765</v>
      </c>
      <c r="C439" s="3" t="s">
        <v>717</v>
      </c>
      <c r="D439" s="3" t="n">
        <v>39.7684</v>
      </c>
      <c r="E439" s="3" t="n">
        <v>-86.1581</v>
      </c>
    </row>
    <row r="440" customFormat="false" ht="15" hidden="false" customHeight="false" outlineLevel="0" collapsed="false">
      <c r="A440" s="21" t="s">
        <v>768</v>
      </c>
      <c r="B440" s="3" t="s">
        <v>769</v>
      </c>
      <c r="C440" s="3" t="s">
        <v>717</v>
      </c>
      <c r="D440" s="3" t="n">
        <v>41.5934</v>
      </c>
      <c r="E440" s="3" t="n">
        <v>-87.3464</v>
      </c>
    </row>
    <row r="441" customFormat="false" ht="15" hidden="false" customHeight="false" outlineLevel="0" collapsed="false">
      <c r="A441" s="21" t="s">
        <v>770</v>
      </c>
      <c r="B441" s="3" t="s">
        <v>769</v>
      </c>
      <c r="C441" s="3" t="s">
        <v>717</v>
      </c>
      <c r="D441" s="3" t="n">
        <v>41.5934</v>
      </c>
      <c r="E441" s="3" t="n">
        <v>-87.3464</v>
      </c>
    </row>
    <row r="442" customFormat="false" ht="15" hidden="false" customHeight="false" outlineLevel="0" collapsed="false">
      <c r="A442" s="21" t="s">
        <v>771</v>
      </c>
      <c r="B442" s="3" t="s">
        <v>772</v>
      </c>
      <c r="C442" s="3" t="s">
        <v>717</v>
      </c>
      <c r="D442" s="3" t="n">
        <v>41.6764</v>
      </c>
      <c r="E442" s="3" t="n">
        <v>-86.252</v>
      </c>
    </row>
    <row r="443" customFormat="false" ht="15" hidden="false" customHeight="false" outlineLevel="0" collapsed="false">
      <c r="A443" s="21" t="s">
        <v>773</v>
      </c>
      <c r="B443" s="3" t="s">
        <v>772</v>
      </c>
      <c r="C443" s="3" t="s">
        <v>717</v>
      </c>
      <c r="D443" s="3" t="n">
        <v>41.6764</v>
      </c>
      <c r="E443" s="3" t="n">
        <v>-86.252</v>
      </c>
    </row>
    <row r="444" customFormat="false" ht="15" hidden="false" customHeight="false" outlineLevel="0" collapsed="false">
      <c r="A444" s="21" t="s">
        <v>774</v>
      </c>
      <c r="B444" s="3" t="s">
        <v>775</v>
      </c>
      <c r="C444" s="3" t="s">
        <v>717</v>
      </c>
      <c r="D444" s="3" t="n">
        <v>41.0793</v>
      </c>
      <c r="E444" s="3" t="n">
        <v>-85.1394</v>
      </c>
    </row>
    <row r="445" customFormat="false" ht="15" hidden="false" customHeight="false" outlineLevel="0" collapsed="false">
      <c r="A445" s="21" t="s">
        <v>776</v>
      </c>
      <c r="B445" s="3" t="s">
        <v>775</v>
      </c>
      <c r="C445" s="3" t="s">
        <v>717</v>
      </c>
      <c r="D445" s="3" t="n">
        <v>41.0793</v>
      </c>
      <c r="E445" s="3" t="n">
        <v>-85.1394</v>
      </c>
    </row>
    <row r="446" customFormat="false" ht="15" hidden="false" customHeight="false" outlineLevel="0" collapsed="false">
      <c r="A446" s="21" t="s">
        <v>777</v>
      </c>
      <c r="B446" s="3" t="s">
        <v>778</v>
      </c>
      <c r="C446" s="3" t="s">
        <v>717</v>
      </c>
      <c r="D446" s="3" t="n">
        <v>40.4864</v>
      </c>
      <c r="E446" s="3" t="n">
        <v>-86.1336</v>
      </c>
    </row>
    <row r="447" customFormat="false" ht="15" hidden="false" customHeight="false" outlineLevel="0" collapsed="false">
      <c r="A447" s="21" t="s">
        <v>779</v>
      </c>
      <c r="B447" s="3" t="s">
        <v>694</v>
      </c>
      <c r="C447" s="3" t="s">
        <v>695</v>
      </c>
      <c r="D447" s="3" t="n">
        <v>39.1031</v>
      </c>
      <c r="E447" s="3" t="n">
        <v>-84.512</v>
      </c>
    </row>
    <row r="448" customFormat="false" ht="15" hidden="false" customHeight="false" outlineLevel="0" collapsed="false">
      <c r="A448" s="21" t="s">
        <v>780</v>
      </c>
      <c r="B448" s="3" t="s">
        <v>680</v>
      </c>
      <c r="C448" s="3" t="s">
        <v>681</v>
      </c>
      <c r="D448" s="3" t="n">
        <v>38.2527</v>
      </c>
      <c r="E448" s="3" t="n">
        <v>-85.7585</v>
      </c>
    </row>
    <row r="449" customFormat="false" ht="15" hidden="false" customHeight="false" outlineLevel="0" collapsed="false">
      <c r="A449" s="21" t="s">
        <v>781</v>
      </c>
      <c r="B449" s="3" t="s">
        <v>554</v>
      </c>
      <c r="C449" s="3" t="s">
        <v>717</v>
      </c>
      <c r="D449" s="3" t="n">
        <v>39.2014</v>
      </c>
      <c r="E449" s="3" t="n">
        <v>-85.9214</v>
      </c>
    </row>
    <row r="450" customFormat="false" ht="15" hidden="false" customHeight="false" outlineLevel="0" collapsed="false">
      <c r="A450" s="21" t="s">
        <v>782</v>
      </c>
      <c r="B450" s="3" t="s">
        <v>783</v>
      </c>
      <c r="C450" s="3" t="s">
        <v>717</v>
      </c>
      <c r="D450" s="3" t="n">
        <v>40.1934</v>
      </c>
      <c r="E450" s="3" t="n">
        <v>-85.3864</v>
      </c>
    </row>
    <row r="451" customFormat="false" ht="15" hidden="false" customHeight="false" outlineLevel="0" collapsed="false">
      <c r="A451" s="21" t="s">
        <v>784</v>
      </c>
      <c r="B451" s="3" t="s">
        <v>785</v>
      </c>
      <c r="C451" s="3" t="s">
        <v>717</v>
      </c>
      <c r="D451" s="3" t="n">
        <v>39.1653</v>
      </c>
      <c r="E451" s="3" t="n">
        <v>-86.5264</v>
      </c>
    </row>
    <row r="452" customFormat="false" ht="15" hidden="false" customHeight="false" outlineLevel="0" collapsed="false">
      <c r="A452" s="21" t="s">
        <v>786</v>
      </c>
      <c r="B452" s="3" t="s">
        <v>278</v>
      </c>
      <c r="C452" s="3" t="s">
        <v>717</v>
      </c>
      <c r="D452" s="3" t="n">
        <v>38.66</v>
      </c>
      <c r="E452" s="3" t="n">
        <v>-87.17</v>
      </c>
    </row>
    <row r="453" customFormat="false" ht="15" hidden="false" customHeight="false" outlineLevel="0" collapsed="false">
      <c r="A453" s="21" t="s">
        <v>787</v>
      </c>
      <c r="B453" s="3" t="s">
        <v>716</v>
      </c>
      <c r="C453" s="3" t="s">
        <v>717</v>
      </c>
      <c r="D453" s="3" t="n">
        <v>37.9716</v>
      </c>
      <c r="E453" s="3" t="n">
        <v>-87.5711</v>
      </c>
    </row>
    <row r="454" customFormat="false" ht="15" hidden="false" customHeight="false" outlineLevel="0" collapsed="false">
      <c r="A454" s="21" t="s">
        <v>788</v>
      </c>
      <c r="B454" s="3" t="s">
        <v>716</v>
      </c>
      <c r="C454" s="3" t="s">
        <v>717</v>
      </c>
      <c r="D454" s="3" t="n">
        <v>37.9716</v>
      </c>
      <c r="E454" s="3" t="n">
        <v>-87.5711</v>
      </c>
    </row>
    <row r="455" customFormat="false" ht="15" hidden="false" customHeight="false" outlineLevel="0" collapsed="false">
      <c r="A455" s="21" t="s">
        <v>789</v>
      </c>
      <c r="B455" s="3" t="s">
        <v>790</v>
      </c>
      <c r="C455" s="3" t="s">
        <v>717</v>
      </c>
      <c r="D455" s="3" t="n">
        <v>39.4667</v>
      </c>
      <c r="E455" s="3" t="n">
        <v>-87.4139</v>
      </c>
    </row>
    <row r="456" customFormat="false" ht="15" hidden="false" customHeight="false" outlineLevel="0" collapsed="false">
      <c r="A456" s="21" t="s">
        <v>791</v>
      </c>
      <c r="B456" s="3" t="s">
        <v>792</v>
      </c>
      <c r="C456" s="3" t="s">
        <v>717</v>
      </c>
      <c r="D456" s="3" t="n">
        <v>40.4167</v>
      </c>
      <c r="E456" s="3" t="n">
        <v>-86.8753</v>
      </c>
    </row>
    <row r="457" customFormat="false" ht="15" hidden="false" customHeight="false" outlineLevel="0" collapsed="false">
      <c r="A457" s="21" t="s">
        <v>793</v>
      </c>
      <c r="B457" s="3" t="s">
        <v>794</v>
      </c>
      <c r="C457" s="3" t="s">
        <v>795</v>
      </c>
      <c r="D457" s="3" t="n">
        <v>42.3314</v>
      </c>
      <c r="E457" s="3" t="n">
        <v>-83.0458</v>
      </c>
    </row>
    <row r="458" customFormat="false" ht="15" hidden="false" customHeight="false" outlineLevel="0" collapsed="false">
      <c r="A458" s="21" t="s">
        <v>796</v>
      </c>
      <c r="B458" s="3" t="s">
        <v>794</v>
      </c>
      <c r="C458" s="3" t="s">
        <v>795</v>
      </c>
      <c r="D458" s="3" t="n">
        <v>42.3314</v>
      </c>
      <c r="E458" s="3" t="n">
        <v>-83.0458</v>
      </c>
    </row>
    <row r="459" customFormat="false" ht="15" hidden="false" customHeight="false" outlineLevel="0" collapsed="false">
      <c r="A459" s="21" t="s">
        <v>797</v>
      </c>
      <c r="B459" s="3" t="s">
        <v>794</v>
      </c>
      <c r="C459" s="3" t="s">
        <v>795</v>
      </c>
      <c r="D459" s="3" t="n">
        <v>42.3314</v>
      </c>
      <c r="E459" s="3" t="n">
        <v>-83.0458</v>
      </c>
    </row>
    <row r="460" customFormat="false" ht="15" hidden="false" customHeight="false" outlineLevel="0" collapsed="false">
      <c r="A460" s="21" t="s">
        <v>798</v>
      </c>
      <c r="B460" s="3" t="s">
        <v>794</v>
      </c>
      <c r="C460" s="3" t="s">
        <v>795</v>
      </c>
      <c r="D460" s="3" t="n">
        <v>42.3314</v>
      </c>
      <c r="E460" s="3" t="n">
        <v>-83.0458</v>
      </c>
    </row>
    <row r="461" customFormat="false" ht="15" hidden="false" customHeight="false" outlineLevel="0" collapsed="false">
      <c r="A461" s="21" t="s">
        <v>799</v>
      </c>
      <c r="B461" s="3" t="s">
        <v>800</v>
      </c>
      <c r="C461" s="3" t="s">
        <v>795</v>
      </c>
      <c r="D461" s="3" t="n">
        <v>43.0125</v>
      </c>
      <c r="E461" s="3" t="n">
        <v>-83.6875</v>
      </c>
    </row>
    <row r="462" customFormat="false" ht="15" hidden="false" customHeight="false" outlineLevel="0" collapsed="false">
      <c r="A462" s="21" t="s">
        <v>801</v>
      </c>
      <c r="B462" s="3" t="s">
        <v>800</v>
      </c>
      <c r="C462" s="3" t="s">
        <v>795</v>
      </c>
      <c r="D462" s="3" t="n">
        <v>43.0125</v>
      </c>
      <c r="E462" s="3" t="n">
        <v>-83.6875</v>
      </c>
    </row>
    <row r="463" customFormat="false" ht="15" hidden="false" customHeight="false" outlineLevel="0" collapsed="false">
      <c r="A463" s="21" t="s">
        <v>802</v>
      </c>
      <c r="B463" s="3" t="s">
        <v>803</v>
      </c>
      <c r="C463" s="3" t="s">
        <v>795</v>
      </c>
      <c r="D463" s="3" t="n">
        <v>43.4195</v>
      </c>
      <c r="E463" s="3" t="n">
        <v>-83.9508</v>
      </c>
    </row>
    <row r="464" customFormat="false" ht="15" hidden="false" customHeight="false" outlineLevel="0" collapsed="false">
      <c r="A464" s="21" t="s">
        <v>804</v>
      </c>
      <c r="B464" s="3" t="s">
        <v>803</v>
      </c>
      <c r="C464" s="3" t="s">
        <v>795</v>
      </c>
      <c r="D464" s="3" t="n">
        <v>43.4195</v>
      </c>
      <c r="E464" s="3" t="n">
        <v>-83.9508</v>
      </c>
    </row>
    <row r="465" customFormat="false" ht="15" hidden="false" customHeight="false" outlineLevel="0" collapsed="false">
      <c r="A465" s="21" t="s">
        <v>805</v>
      </c>
      <c r="B465" s="3" t="s">
        <v>806</v>
      </c>
      <c r="C465" s="3" t="s">
        <v>795</v>
      </c>
      <c r="D465" s="3" t="n">
        <v>42.7325</v>
      </c>
      <c r="E465" s="3" t="n">
        <v>-84.5555</v>
      </c>
    </row>
    <row r="466" customFormat="false" ht="15" hidden="false" customHeight="false" outlineLevel="0" collapsed="false">
      <c r="A466" s="21" t="s">
        <v>807</v>
      </c>
      <c r="B466" s="3" t="s">
        <v>806</v>
      </c>
      <c r="C466" s="3" t="s">
        <v>795</v>
      </c>
      <c r="D466" s="3" t="n">
        <v>42.7325</v>
      </c>
      <c r="E466" s="3" t="n">
        <v>-84.5555</v>
      </c>
    </row>
    <row r="467" customFormat="false" ht="15" hidden="false" customHeight="false" outlineLevel="0" collapsed="false">
      <c r="A467" s="21" t="s">
        <v>808</v>
      </c>
      <c r="B467" s="3" t="s">
        <v>809</v>
      </c>
      <c r="C467" s="3" t="s">
        <v>795</v>
      </c>
      <c r="D467" s="3" t="n">
        <v>42.2917</v>
      </c>
      <c r="E467" s="3" t="n">
        <v>-85.5872</v>
      </c>
    </row>
    <row r="468" customFormat="false" ht="15" hidden="false" customHeight="false" outlineLevel="0" collapsed="false">
      <c r="A468" s="21" t="s">
        <v>810</v>
      </c>
      <c r="B468" s="3" t="s">
        <v>772</v>
      </c>
      <c r="C468" s="3" t="s">
        <v>717</v>
      </c>
      <c r="D468" s="3" t="n">
        <v>41.6764</v>
      </c>
      <c r="E468" s="3" t="n">
        <v>-86.252</v>
      </c>
    </row>
    <row r="469" customFormat="false" ht="15" hidden="false" customHeight="false" outlineLevel="0" collapsed="false">
      <c r="A469" s="21" t="s">
        <v>811</v>
      </c>
      <c r="B469" s="3" t="s">
        <v>656</v>
      </c>
      <c r="C469" s="3" t="s">
        <v>795</v>
      </c>
      <c r="D469" s="3" t="n">
        <v>42.25</v>
      </c>
      <c r="E469" s="3" t="n">
        <v>-84.4</v>
      </c>
    </row>
    <row r="470" customFormat="false" ht="15" hidden="false" customHeight="false" outlineLevel="0" collapsed="false">
      <c r="A470" s="21" t="s">
        <v>812</v>
      </c>
      <c r="B470" s="3" t="s">
        <v>813</v>
      </c>
      <c r="C470" s="3" t="s">
        <v>795</v>
      </c>
      <c r="D470" s="3" t="n">
        <v>42.9634</v>
      </c>
      <c r="E470" s="3" t="n">
        <v>-85.6681</v>
      </c>
    </row>
    <row r="471" customFormat="false" ht="15" hidden="false" customHeight="false" outlineLevel="0" collapsed="false">
      <c r="A471" s="21" t="s">
        <v>814</v>
      </c>
      <c r="B471" s="3" t="s">
        <v>813</v>
      </c>
      <c r="C471" s="3" t="s">
        <v>795</v>
      </c>
      <c r="D471" s="3" t="n">
        <v>42.9634</v>
      </c>
      <c r="E471" s="3" t="n">
        <v>-85.6681</v>
      </c>
    </row>
    <row r="472" customFormat="false" ht="15" hidden="false" customHeight="false" outlineLevel="0" collapsed="false">
      <c r="A472" s="21" t="s">
        <v>815</v>
      </c>
      <c r="B472" s="3" t="s">
        <v>813</v>
      </c>
      <c r="C472" s="3" t="s">
        <v>795</v>
      </c>
      <c r="D472" s="3" t="n">
        <v>42.9634</v>
      </c>
      <c r="E472" s="3" t="n">
        <v>-85.6681</v>
      </c>
    </row>
    <row r="473" customFormat="false" ht="15" hidden="false" customHeight="false" outlineLevel="0" collapsed="false">
      <c r="A473" s="21" t="s">
        <v>816</v>
      </c>
      <c r="B473" s="3" t="s">
        <v>817</v>
      </c>
      <c r="C473" s="3" t="s">
        <v>795</v>
      </c>
      <c r="D473" s="3" t="n">
        <v>44.25</v>
      </c>
      <c r="E473" s="3" t="n">
        <v>-85.4</v>
      </c>
    </row>
    <row r="474" customFormat="false" ht="15" hidden="false" customHeight="false" outlineLevel="0" collapsed="false">
      <c r="A474" s="21" t="s">
        <v>818</v>
      </c>
      <c r="B474" s="3" t="s">
        <v>819</v>
      </c>
      <c r="C474" s="3" t="s">
        <v>795</v>
      </c>
      <c r="D474" s="3" t="n">
        <v>45.78</v>
      </c>
      <c r="E474" s="3" t="n">
        <v>-84.73</v>
      </c>
    </row>
    <row r="475" customFormat="false" ht="15" hidden="false" customHeight="false" outlineLevel="0" collapsed="false">
      <c r="A475" s="21" t="s">
        <v>820</v>
      </c>
      <c r="B475" s="3" t="s">
        <v>821</v>
      </c>
      <c r="C475" s="3" t="s">
        <v>795</v>
      </c>
      <c r="D475" s="3" t="n">
        <v>45.82</v>
      </c>
      <c r="E475" s="3" t="n">
        <v>-88.07</v>
      </c>
    </row>
    <row r="476" customFormat="false" ht="15" hidden="false" customHeight="false" outlineLevel="0" collapsed="false">
      <c r="A476" s="21" t="s">
        <v>822</v>
      </c>
      <c r="B476" s="3" t="s">
        <v>821</v>
      </c>
      <c r="C476" s="3" t="s">
        <v>795</v>
      </c>
      <c r="D476" s="3" t="n">
        <v>45.82</v>
      </c>
      <c r="E476" s="3" t="n">
        <v>-88.07</v>
      </c>
    </row>
    <row r="477" customFormat="false" ht="15" hidden="false" customHeight="false" outlineLevel="0" collapsed="false">
      <c r="A477" s="21" t="s">
        <v>823</v>
      </c>
      <c r="B477" s="3" t="s">
        <v>824</v>
      </c>
      <c r="C477" s="3" t="s">
        <v>825</v>
      </c>
      <c r="D477" s="3" t="n">
        <v>41.6005</v>
      </c>
      <c r="E477" s="3" t="n">
        <v>-93.6091</v>
      </c>
    </row>
    <row r="478" customFormat="false" ht="15" hidden="false" customHeight="false" outlineLevel="0" collapsed="false">
      <c r="A478" s="21" t="s">
        <v>826</v>
      </c>
      <c r="B478" s="3" t="s">
        <v>824</v>
      </c>
      <c r="C478" s="3" t="s">
        <v>825</v>
      </c>
      <c r="D478" s="3" t="n">
        <v>41.6005</v>
      </c>
      <c r="E478" s="3" t="n">
        <v>-93.6091</v>
      </c>
    </row>
    <row r="479" customFormat="false" ht="15" hidden="false" customHeight="false" outlineLevel="0" collapsed="false">
      <c r="A479" s="21" t="s">
        <v>827</v>
      </c>
      <c r="B479" s="3" t="s">
        <v>824</v>
      </c>
      <c r="C479" s="3" t="s">
        <v>825</v>
      </c>
      <c r="D479" s="3" t="n">
        <v>41.6005</v>
      </c>
      <c r="E479" s="3" t="n">
        <v>-93.6091</v>
      </c>
    </row>
    <row r="480" customFormat="false" ht="15" hidden="false" customHeight="false" outlineLevel="0" collapsed="false">
      <c r="A480" s="21" t="s">
        <v>828</v>
      </c>
      <c r="B480" s="3" t="s">
        <v>824</v>
      </c>
      <c r="C480" s="3" t="s">
        <v>825</v>
      </c>
      <c r="D480" s="3" t="n">
        <v>41.6005</v>
      </c>
      <c r="E480" s="3" t="n">
        <v>-93.6091</v>
      </c>
    </row>
    <row r="481" customFormat="false" ht="15" hidden="false" customHeight="false" outlineLevel="0" collapsed="false">
      <c r="A481" s="21" t="s">
        <v>829</v>
      </c>
      <c r="B481" s="3" t="s">
        <v>830</v>
      </c>
      <c r="C481" s="3" t="s">
        <v>825</v>
      </c>
      <c r="D481" s="3" t="n">
        <v>43.15</v>
      </c>
      <c r="E481" s="3" t="n">
        <v>-93.2</v>
      </c>
    </row>
    <row r="482" customFormat="false" ht="15" hidden="false" customHeight="false" outlineLevel="0" collapsed="false">
      <c r="A482" s="21" t="s">
        <v>831</v>
      </c>
      <c r="B482" s="3" t="s">
        <v>832</v>
      </c>
      <c r="C482" s="3" t="s">
        <v>825</v>
      </c>
      <c r="D482" s="3" t="n">
        <v>42.5</v>
      </c>
      <c r="E482" s="3" t="n">
        <v>-94.17</v>
      </c>
    </row>
    <row r="483" customFormat="false" ht="15" hidden="false" customHeight="false" outlineLevel="0" collapsed="false">
      <c r="A483" s="21" t="s">
        <v>833</v>
      </c>
      <c r="B483" s="3" t="s">
        <v>834</v>
      </c>
      <c r="C483" s="3" t="s">
        <v>825</v>
      </c>
      <c r="D483" s="3" t="n">
        <v>42.4928</v>
      </c>
      <c r="E483" s="3" t="n">
        <v>-92.3426</v>
      </c>
    </row>
    <row r="484" customFormat="false" ht="15" hidden="false" customHeight="false" outlineLevel="0" collapsed="false">
      <c r="A484" s="21" t="s">
        <v>835</v>
      </c>
      <c r="B484" s="3" t="s">
        <v>834</v>
      </c>
      <c r="C484" s="3" t="s">
        <v>825</v>
      </c>
      <c r="D484" s="3" t="n">
        <v>42.4928</v>
      </c>
      <c r="E484" s="3" t="n">
        <v>-92.3426</v>
      </c>
    </row>
    <row r="485" customFormat="false" ht="15" hidden="false" customHeight="false" outlineLevel="0" collapsed="false">
      <c r="A485" s="21" t="s">
        <v>836</v>
      </c>
      <c r="B485" s="3" t="s">
        <v>837</v>
      </c>
      <c r="C485" s="3" t="s">
        <v>825</v>
      </c>
      <c r="D485" s="3" t="n">
        <v>41.06</v>
      </c>
      <c r="E485" s="3" t="n">
        <v>-94.36</v>
      </c>
    </row>
    <row r="486" customFormat="false" ht="15" hidden="false" customHeight="false" outlineLevel="0" collapsed="false">
      <c r="A486" s="21" t="s">
        <v>838</v>
      </c>
      <c r="B486" s="3" t="s">
        <v>824</v>
      </c>
      <c r="C486" s="3" t="s">
        <v>825</v>
      </c>
      <c r="D486" s="3" t="n">
        <v>41.6005</v>
      </c>
      <c r="E486" s="3" t="n">
        <v>-93.6091</v>
      </c>
    </row>
    <row r="487" customFormat="false" ht="15" hidden="false" customHeight="false" outlineLevel="0" collapsed="false">
      <c r="A487" s="21" t="s">
        <v>839</v>
      </c>
      <c r="B487" s="3" t="s">
        <v>840</v>
      </c>
      <c r="C487" s="3" t="s">
        <v>825</v>
      </c>
      <c r="D487" s="3" t="n">
        <v>42.5</v>
      </c>
      <c r="E487" s="3" t="n">
        <v>-96.4003</v>
      </c>
    </row>
    <row r="488" customFormat="false" ht="15" hidden="false" customHeight="false" outlineLevel="0" collapsed="false">
      <c r="A488" s="21" t="s">
        <v>841</v>
      </c>
      <c r="B488" s="3" t="s">
        <v>840</v>
      </c>
      <c r="C488" s="3" t="s">
        <v>825</v>
      </c>
      <c r="D488" s="3" t="n">
        <v>42.5</v>
      </c>
      <c r="E488" s="3" t="n">
        <v>-96.4003</v>
      </c>
    </row>
    <row r="489" customFormat="false" ht="15" hidden="false" customHeight="false" outlineLevel="0" collapsed="false">
      <c r="A489" s="21" t="s">
        <v>842</v>
      </c>
      <c r="B489" s="3" t="s">
        <v>843</v>
      </c>
      <c r="C489" s="3" t="s">
        <v>825</v>
      </c>
      <c r="D489" s="3" t="n">
        <v>43.18</v>
      </c>
      <c r="E489" s="3" t="n">
        <v>-95.86</v>
      </c>
    </row>
    <row r="490" customFormat="false" ht="15" hidden="false" customHeight="false" outlineLevel="0" collapsed="false">
      <c r="A490" s="21" t="s">
        <v>844</v>
      </c>
      <c r="B490" s="3" t="s">
        <v>845</v>
      </c>
      <c r="C490" s="3" t="s">
        <v>825</v>
      </c>
      <c r="D490" s="3" t="n">
        <v>43.14</v>
      </c>
      <c r="E490" s="3" t="n">
        <v>-95.14</v>
      </c>
    </row>
    <row r="491" customFormat="false" ht="15" hidden="false" customHeight="false" outlineLevel="0" collapsed="false">
      <c r="A491" s="21" t="s">
        <v>846</v>
      </c>
      <c r="B491" s="3" t="s">
        <v>847</v>
      </c>
      <c r="C491" s="3" t="s">
        <v>825</v>
      </c>
      <c r="D491" s="3" t="n">
        <v>42.07</v>
      </c>
      <c r="E491" s="3" t="n">
        <v>-94.87</v>
      </c>
    </row>
    <row r="492" customFormat="false" ht="15" hidden="false" customHeight="false" outlineLevel="0" collapsed="false">
      <c r="A492" s="21" t="s">
        <v>848</v>
      </c>
      <c r="B492" s="3" t="s">
        <v>849</v>
      </c>
      <c r="C492" s="3" t="s">
        <v>825</v>
      </c>
      <c r="D492" s="3" t="n">
        <v>41.2619</v>
      </c>
      <c r="E492" s="3" t="n">
        <v>-95.8608</v>
      </c>
    </row>
    <row r="493" customFormat="false" ht="15" hidden="false" customHeight="false" outlineLevel="0" collapsed="false">
      <c r="A493" s="21" t="s">
        <v>850</v>
      </c>
      <c r="B493" s="3" t="s">
        <v>851</v>
      </c>
      <c r="C493" s="3" t="s">
        <v>825</v>
      </c>
      <c r="D493" s="3" t="n">
        <v>40.77</v>
      </c>
      <c r="E493" s="3" t="n">
        <v>-95.37</v>
      </c>
    </row>
    <row r="494" customFormat="false" ht="15" hidden="false" customHeight="false" outlineLevel="0" collapsed="false">
      <c r="A494" s="21" t="s">
        <v>852</v>
      </c>
      <c r="B494" s="3" t="s">
        <v>853</v>
      </c>
      <c r="C494" s="3" t="s">
        <v>825</v>
      </c>
      <c r="D494" s="3" t="n">
        <v>42.5006</v>
      </c>
      <c r="E494" s="3" t="n">
        <v>-90.6646</v>
      </c>
    </row>
    <row r="495" customFormat="false" ht="15" hidden="false" customHeight="false" outlineLevel="0" collapsed="false">
      <c r="A495" s="21" t="s">
        <v>854</v>
      </c>
      <c r="B495" s="3" t="s">
        <v>855</v>
      </c>
      <c r="C495" s="3" t="s">
        <v>825</v>
      </c>
      <c r="D495" s="3" t="n">
        <v>43.3</v>
      </c>
      <c r="E495" s="3" t="n">
        <v>-91.79</v>
      </c>
    </row>
    <row r="496" customFormat="false" ht="15" hidden="false" customHeight="false" outlineLevel="0" collapsed="false">
      <c r="A496" s="21" t="s">
        <v>856</v>
      </c>
      <c r="B496" s="3" t="s">
        <v>857</v>
      </c>
      <c r="C496" s="3" t="s">
        <v>825</v>
      </c>
      <c r="D496" s="3" t="n">
        <v>41.9779</v>
      </c>
      <c r="E496" s="3" t="n">
        <v>-91.6656</v>
      </c>
    </row>
    <row r="497" customFormat="false" ht="15" hidden="false" customHeight="false" outlineLevel="0" collapsed="false">
      <c r="A497" s="21" t="s">
        <v>858</v>
      </c>
      <c r="B497" s="3" t="s">
        <v>857</v>
      </c>
      <c r="C497" s="3" t="s">
        <v>825</v>
      </c>
      <c r="D497" s="3" t="n">
        <v>41.9779</v>
      </c>
      <c r="E497" s="3" t="n">
        <v>-91.6656</v>
      </c>
    </row>
    <row r="498" customFormat="false" ht="15" hidden="false" customHeight="false" outlineLevel="0" collapsed="false">
      <c r="A498" s="21" t="s">
        <v>859</v>
      </c>
      <c r="B498" s="3" t="s">
        <v>857</v>
      </c>
      <c r="C498" s="3" t="s">
        <v>825</v>
      </c>
      <c r="D498" s="3" t="n">
        <v>41.9779</v>
      </c>
      <c r="E498" s="3" t="n">
        <v>-91.6656</v>
      </c>
    </row>
    <row r="499" customFormat="false" ht="15" hidden="false" customHeight="false" outlineLevel="0" collapsed="false">
      <c r="A499" s="21" t="s">
        <v>860</v>
      </c>
      <c r="B499" s="3" t="s">
        <v>861</v>
      </c>
      <c r="C499" s="3" t="s">
        <v>825</v>
      </c>
      <c r="D499" s="3" t="n">
        <v>41.02</v>
      </c>
      <c r="E499" s="3" t="n">
        <v>-92.41</v>
      </c>
    </row>
    <row r="500" customFormat="false" ht="15" hidden="false" customHeight="false" outlineLevel="0" collapsed="false">
      <c r="A500" s="21" t="s">
        <v>862</v>
      </c>
      <c r="B500" s="3" t="s">
        <v>125</v>
      </c>
      <c r="C500" s="3" t="s">
        <v>825</v>
      </c>
      <c r="D500" s="3" t="n">
        <v>40.81</v>
      </c>
      <c r="E500" s="3" t="n">
        <v>-91.11</v>
      </c>
    </row>
    <row r="501" customFormat="false" ht="15" hidden="false" customHeight="false" outlineLevel="0" collapsed="false">
      <c r="A501" s="21" t="s">
        <v>863</v>
      </c>
      <c r="B501" s="3" t="s">
        <v>864</v>
      </c>
      <c r="C501" s="3" t="s">
        <v>825</v>
      </c>
      <c r="D501" s="3" t="n">
        <v>41.5236</v>
      </c>
      <c r="E501" s="3" t="n">
        <v>-90.5776</v>
      </c>
    </row>
    <row r="502" customFormat="false" ht="15" hidden="false" customHeight="false" outlineLevel="0" collapsed="false">
      <c r="A502" s="21" t="s">
        <v>865</v>
      </c>
      <c r="B502" s="3" t="s">
        <v>864</v>
      </c>
      <c r="C502" s="3" t="s">
        <v>825</v>
      </c>
      <c r="D502" s="3" t="n">
        <v>41.5236</v>
      </c>
      <c r="E502" s="3" t="n">
        <v>-90.5776</v>
      </c>
    </row>
    <row r="503" customFormat="false" ht="15" hidden="false" customHeight="false" outlineLevel="0" collapsed="false">
      <c r="A503" s="21" t="s">
        <v>866</v>
      </c>
      <c r="B503" s="3" t="s">
        <v>867</v>
      </c>
      <c r="C503" s="3" t="s">
        <v>868</v>
      </c>
      <c r="D503" s="3" t="n">
        <v>43.0389</v>
      </c>
      <c r="E503" s="3" t="n">
        <v>-87.9065</v>
      </c>
    </row>
    <row r="504" customFormat="false" ht="15" hidden="false" customHeight="false" outlineLevel="0" collapsed="false">
      <c r="A504" s="21" t="s">
        <v>869</v>
      </c>
      <c r="B504" s="3" t="s">
        <v>867</v>
      </c>
      <c r="C504" s="3" t="s">
        <v>868</v>
      </c>
      <c r="D504" s="3" t="n">
        <v>43.0389</v>
      </c>
      <c r="E504" s="3" t="n">
        <v>-87.9065</v>
      </c>
    </row>
    <row r="505" customFormat="false" ht="15" hidden="false" customHeight="false" outlineLevel="0" collapsed="false">
      <c r="A505" s="21" t="s">
        <v>870</v>
      </c>
      <c r="B505" s="3" t="s">
        <v>867</v>
      </c>
      <c r="C505" s="3" t="s">
        <v>868</v>
      </c>
      <c r="D505" s="3" t="n">
        <v>43.0389</v>
      </c>
      <c r="E505" s="3" t="n">
        <v>-87.9065</v>
      </c>
    </row>
    <row r="506" customFormat="false" ht="15" hidden="false" customHeight="false" outlineLevel="0" collapsed="false">
      <c r="A506" s="21" t="s">
        <v>871</v>
      </c>
      <c r="B506" s="3" t="s">
        <v>872</v>
      </c>
      <c r="C506" s="3" t="s">
        <v>868</v>
      </c>
      <c r="D506" s="3" t="n">
        <v>42.7261</v>
      </c>
      <c r="E506" s="3" t="n">
        <v>-87.7829</v>
      </c>
    </row>
    <row r="507" customFormat="false" ht="15" hidden="false" customHeight="false" outlineLevel="0" collapsed="false">
      <c r="A507" s="21" t="s">
        <v>873</v>
      </c>
      <c r="B507" s="3" t="s">
        <v>874</v>
      </c>
      <c r="C507" s="3" t="s">
        <v>868</v>
      </c>
      <c r="D507" s="3" t="n">
        <v>43.0731</v>
      </c>
      <c r="E507" s="3" t="n">
        <v>-89.4012</v>
      </c>
    </row>
    <row r="508" customFormat="false" ht="15" hidden="false" customHeight="false" outlineLevel="0" collapsed="false">
      <c r="A508" s="21" t="s">
        <v>875</v>
      </c>
      <c r="B508" s="3" t="s">
        <v>874</v>
      </c>
      <c r="C508" s="3" t="s">
        <v>868</v>
      </c>
      <c r="D508" s="3" t="n">
        <v>43.0731</v>
      </c>
      <c r="E508" s="3" t="n">
        <v>-89.4012</v>
      </c>
    </row>
    <row r="509" customFormat="false" ht="15" hidden="false" customHeight="false" outlineLevel="0" collapsed="false">
      <c r="A509" s="21" t="s">
        <v>876</v>
      </c>
      <c r="B509" s="3" t="s">
        <v>853</v>
      </c>
      <c r="C509" s="3" t="s">
        <v>825</v>
      </c>
      <c r="D509" s="3" t="n">
        <v>42.5006</v>
      </c>
      <c r="E509" s="3" t="n">
        <v>-90.6646</v>
      </c>
    </row>
    <row r="510" customFormat="false" ht="15" hidden="false" customHeight="false" outlineLevel="0" collapsed="false">
      <c r="A510" s="21" t="s">
        <v>877</v>
      </c>
      <c r="B510" s="3" t="s">
        <v>878</v>
      </c>
      <c r="C510" s="3" t="s">
        <v>868</v>
      </c>
      <c r="D510" s="3" t="n">
        <v>43.54</v>
      </c>
      <c r="E510" s="3" t="n">
        <v>-89.46</v>
      </c>
    </row>
    <row r="511" customFormat="false" ht="15" hidden="false" customHeight="false" outlineLevel="0" collapsed="false">
      <c r="A511" s="21" t="s">
        <v>879</v>
      </c>
      <c r="B511" s="3" t="s">
        <v>880</v>
      </c>
      <c r="C511" s="3" t="s">
        <v>881</v>
      </c>
      <c r="D511" s="3" t="n">
        <v>44.9537</v>
      </c>
      <c r="E511" s="3" t="n">
        <v>-93.09</v>
      </c>
    </row>
    <row r="512" customFormat="false" ht="15" hidden="false" customHeight="false" outlineLevel="0" collapsed="false">
      <c r="A512" s="21" t="s">
        <v>882</v>
      </c>
      <c r="B512" s="3" t="s">
        <v>883</v>
      </c>
      <c r="C512" s="3" t="s">
        <v>868</v>
      </c>
      <c r="D512" s="3" t="n">
        <v>44.5192</v>
      </c>
      <c r="E512" s="3" t="n">
        <v>-88.0198</v>
      </c>
    </row>
    <row r="513" customFormat="false" ht="15" hidden="false" customHeight="false" outlineLevel="0" collapsed="false">
      <c r="A513" s="21" t="s">
        <v>884</v>
      </c>
      <c r="B513" s="3" t="s">
        <v>883</v>
      </c>
      <c r="C513" s="3" t="s">
        <v>868</v>
      </c>
      <c r="D513" s="3" t="n">
        <v>44.5192</v>
      </c>
      <c r="E513" s="3" t="n">
        <v>-88.0198</v>
      </c>
    </row>
    <row r="514" customFormat="false" ht="15" hidden="false" customHeight="false" outlineLevel="0" collapsed="false">
      <c r="A514" s="21" t="s">
        <v>885</v>
      </c>
      <c r="B514" s="3" t="s">
        <v>883</v>
      </c>
      <c r="C514" s="3" t="s">
        <v>868</v>
      </c>
      <c r="D514" s="3" t="n">
        <v>44.5192</v>
      </c>
      <c r="E514" s="3" t="n">
        <v>-88.0198</v>
      </c>
    </row>
    <row r="515" customFormat="false" ht="15" hidden="false" customHeight="false" outlineLevel="0" collapsed="false">
      <c r="A515" s="21" t="s">
        <v>886</v>
      </c>
      <c r="B515" s="3" t="s">
        <v>887</v>
      </c>
      <c r="C515" s="3" t="s">
        <v>868</v>
      </c>
      <c r="D515" s="3" t="n">
        <v>44.9591</v>
      </c>
      <c r="E515" s="3" t="n">
        <v>-89.6301</v>
      </c>
    </row>
    <row r="516" customFormat="false" ht="15" hidden="false" customHeight="false" outlineLevel="0" collapsed="false">
      <c r="A516" s="21" t="s">
        <v>888</v>
      </c>
      <c r="B516" s="3" t="s">
        <v>889</v>
      </c>
      <c r="C516" s="3" t="s">
        <v>868</v>
      </c>
      <c r="D516" s="3" t="n">
        <v>45.64</v>
      </c>
      <c r="E516" s="3" t="n">
        <v>-89.41</v>
      </c>
    </row>
    <row r="517" customFormat="false" ht="15" hidden="false" customHeight="false" outlineLevel="0" collapsed="false">
      <c r="A517" s="21" t="s">
        <v>890</v>
      </c>
      <c r="B517" s="3" t="s">
        <v>891</v>
      </c>
      <c r="C517" s="3" t="s">
        <v>868</v>
      </c>
      <c r="D517" s="3" t="n">
        <v>43.8014</v>
      </c>
      <c r="E517" s="3" t="n">
        <v>-91.2396</v>
      </c>
    </row>
    <row r="518" customFormat="false" ht="15" hidden="false" customHeight="false" outlineLevel="0" collapsed="false">
      <c r="A518" s="21" t="s">
        <v>892</v>
      </c>
      <c r="B518" s="3" t="s">
        <v>893</v>
      </c>
      <c r="C518" s="3" t="s">
        <v>868</v>
      </c>
      <c r="D518" s="3" t="n">
        <v>44.8113</v>
      </c>
      <c r="E518" s="3" t="n">
        <v>-91.4985</v>
      </c>
    </row>
    <row r="519" customFormat="false" ht="15" hidden="false" customHeight="false" outlineLevel="0" collapsed="false">
      <c r="A519" s="21" t="s">
        <v>894</v>
      </c>
      <c r="B519" s="3" t="s">
        <v>895</v>
      </c>
      <c r="C519" s="3" t="s">
        <v>868</v>
      </c>
      <c r="D519" s="3" t="n">
        <v>45.82</v>
      </c>
      <c r="E519" s="3" t="n">
        <v>-91.89</v>
      </c>
    </row>
    <row r="520" customFormat="false" ht="15" hidden="false" customHeight="false" outlineLevel="0" collapsed="false">
      <c r="A520" s="21" t="s">
        <v>896</v>
      </c>
      <c r="B520" s="3" t="s">
        <v>897</v>
      </c>
      <c r="C520" s="3" t="s">
        <v>868</v>
      </c>
      <c r="D520" s="3" t="n">
        <v>44.0247</v>
      </c>
      <c r="E520" s="3" t="n">
        <v>-88.5426</v>
      </c>
    </row>
    <row r="521" customFormat="false" ht="15" hidden="false" customHeight="false" outlineLevel="0" collapsed="false">
      <c r="A521" s="21" t="s">
        <v>898</v>
      </c>
      <c r="B521" s="3" t="s">
        <v>880</v>
      </c>
      <c r="C521" s="3" t="s">
        <v>881</v>
      </c>
      <c r="D521" s="3" t="n">
        <v>44.9537</v>
      </c>
      <c r="E521" s="3" t="n">
        <v>-93.09</v>
      </c>
    </row>
    <row r="522" customFormat="false" ht="15" hidden="false" customHeight="false" outlineLevel="0" collapsed="false">
      <c r="A522" s="21" t="s">
        <v>899</v>
      </c>
      <c r="B522" s="3" t="s">
        <v>880</v>
      </c>
      <c r="C522" s="3" t="s">
        <v>881</v>
      </c>
      <c r="D522" s="3" t="n">
        <v>44.9537</v>
      </c>
      <c r="E522" s="3" t="n">
        <v>-93.09</v>
      </c>
    </row>
    <row r="523" customFormat="false" ht="15" hidden="false" customHeight="false" outlineLevel="0" collapsed="false">
      <c r="A523" s="21" t="s">
        <v>900</v>
      </c>
      <c r="B523" s="3" t="s">
        <v>901</v>
      </c>
      <c r="C523" s="3" t="s">
        <v>881</v>
      </c>
      <c r="D523" s="3" t="n">
        <v>44.9778</v>
      </c>
      <c r="E523" s="3" t="n">
        <v>-93.265</v>
      </c>
    </row>
    <row r="524" customFormat="false" ht="15" hidden="false" customHeight="false" outlineLevel="0" collapsed="false">
      <c r="A524" s="21" t="s">
        <v>902</v>
      </c>
      <c r="B524" s="3" t="s">
        <v>901</v>
      </c>
      <c r="C524" s="3" t="s">
        <v>881</v>
      </c>
      <c r="D524" s="3" t="n">
        <v>44.9778</v>
      </c>
      <c r="E524" s="3" t="n">
        <v>-93.265</v>
      </c>
    </row>
    <row r="525" customFormat="false" ht="15" hidden="false" customHeight="false" outlineLevel="0" collapsed="false">
      <c r="A525" s="21" t="s">
        <v>903</v>
      </c>
      <c r="B525" s="3" t="s">
        <v>901</v>
      </c>
      <c r="C525" s="3" t="s">
        <v>881</v>
      </c>
      <c r="D525" s="3" t="n">
        <v>44.9778</v>
      </c>
      <c r="E525" s="3" t="n">
        <v>-93.265</v>
      </c>
    </row>
    <row r="526" customFormat="false" ht="15" hidden="false" customHeight="false" outlineLevel="0" collapsed="false">
      <c r="A526" s="21" t="s">
        <v>904</v>
      </c>
      <c r="B526" s="3" t="s">
        <v>905</v>
      </c>
      <c r="C526" s="3" t="s">
        <v>881</v>
      </c>
      <c r="D526" s="3" t="n">
        <v>46.7867</v>
      </c>
      <c r="E526" s="3" t="n">
        <v>-92.1005</v>
      </c>
    </row>
    <row r="527" customFormat="false" ht="15" hidden="false" customHeight="false" outlineLevel="0" collapsed="false">
      <c r="A527" s="21" t="s">
        <v>906</v>
      </c>
      <c r="B527" s="3" t="s">
        <v>905</v>
      </c>
      <c r="C527" s="3" t="s">
        <v>881</v>
      </c>
      <c r="D527" s="3" t="n">
        <v>46.7867</v>
      </c>
      <c r="E527" s="3" t="n">
        <v>-92.1005</v>
      </c>
    </row>
    <row r="528" customFormat="false" ht="15" hidden="false" customHeight="false" outlineLevel="0" collapsed="false">
      <c r="A528" s="21" t="s">
        <v>907</v>
      </c>
      <c r="B528" s="3" t="s">
        <v>905</v>
      </c>
      <c r="C528" s="3" t="s">
        <v>881</v>
      </c>
      <c r="D528" s="3" t="n">
        <v>46.7867</v>
      </c>
      <c r="E528" s="3" t="n">
        <v>-92.1005</v>
      </c>
    </row>
    <row r="529" customFormat="false" ht="15" hidden="false" customHeight="false" outlineLevel="0" collapsed="false">
      <c r="A529" s="21" t="s">
        <v>908</v>
      </c>
      <c r="B529" s="3" t="s">
        <v>264</v>
      </c>
      <c r="C529" s="3" t="s">
        <v>881</v>
      </c>
      <c r="D529" s="3" t="n">
        <v>44.0121</v>
      </c>
      <c r="E529" s="3" t="n">
        <v>-92.4802</v>
      </c>
    </row>
    <row r="530" customFormat="false" ht="15" hidden="false" customHeight="false" outlineLevel="0" collapsed="false">
      <c r="A530" s="21" t="s">
        <v>909</v>
      </c>
      <c r="B530" s="3" t="s">
        <v>910</v>
      </c>
      <c r="C530" s="3" t="s">
        <v>881</v>
      </c>
      <c r="D530" s="3" t="n">
        <v>44.1636</v>
      </c>
      <c r="E530" s="3" t="n">
        <v>-93.9994</v>
      </c>
    </row>
    <row r="531" customFormat="false" ht="15" hidden="false" customHeight="false" outlineLevel="0" collapsed="false">
      <c r="A531" s="21" t="s">
        <v>911</v>
      </c>
      <c r="B531" s="3" t="s">
        <v>912</v>
      </c>
      <c r="C531" s="3" t="s">
        <v>881</v>
      </c>
      <c r="D531" s="3" t="n">
        <v>43.87</v>
      </c>
      <c r="E531" s="3" t="n">
        <v>-95.12</v>
      </c>
    </row>
    <row r="532" customFormat="false" ht="15" hidden="false" customHeight="false" outlineLevel="0" collapsed="false">
      <c r="A532" s="21" t="s">
        <v>913</v>
      </c>
      <c r="B532" s="3" t="s">
        <v>914</v>
      </c>
      <c r="C532" s="3" t="s">
        <v>881</v>
      </c>
      <c r="D532" s="3" t="n">
        <v>45.12</v>
      </c>
      <c r="E532" s="3" t="n">
        <v>-95.04</v>
      </c>
    </row>
    <row r="533" customFormat="false" ht="15" hidden="false" customHeight="false" outlineLevel="0" collapsed="false">
      <c r="A533" s="21" t="s">
        <v>915</v>
      </c>
      <c r="B533" s="3" t="s">
        <v>916</v>
      </c>
      <c r="C533" s="3" t="s">
        <v>881</v>
      </c>
      <c r="D533" s="3" t="n">
        <v>45.5579</v>
      </c>
      <c r="E533" s="3" t="n">
        <v>-94.1632</v>
      </c>
    </row>
    <row r="534" customFormat="false" ht="15" hidden="false" customHeight="false" outlineLevel="0" collapsed="false">
      <c r="A534" s="21" t="s">
        <v>917</v>
      </c>
      <c r="B534" s="3" t="s">
        <v>918</v>
      </c>
      <c r="C534" s="3" t="s">
        <v>881</v>
      </c>
      <c r="D534" s="3" t="n">
        <v>46.36</v>
      </c>
      <c r="E534" s="3" t="n">
        <v>-94.2</v>
      </c>
    </row>
    <row r="535" customFormat="false" ht="15" hidden="false" customHeight="false" outlineLevel="0" collapsed="false">
      <c r="A535" s="21" t="s">
        <v>919</v>
      </c>
      <c r="B535" s="3" t="s">
        <v>920</v>
      </c>
      <c r="C535" s="3" t="s">
        <v>881</v>
      </c>
      <c r="D535" s="3" t="n">
        <v>46.82</v>
      </c>
      <c r="E535" s="3" t="n">
        <v>-95.85</v>
      </c>
    </row>
    <row r="536" customFormat="false" ht="15" hidden="false" customHeight="false" outlineLevel="0" collapsed="false">
      <c r="A536" s="21" t="s">
        <v>921</v>
      </c>
      <c r="B536" s="3" t="s">
        <v>922</v>
      </c>
      <c r="C536" s="3" t="s">
        <v>881</v>
      </c>
      <c r="D536" s="3" t="n">
        <v>47.47</v>
      </c>
      <c r="E536" s="3" t="n">
        <v>-94.88</v>
      </c>
    </row>
    <row r="537" customFormat="false" ht="15" hidden="false" customHeight="false" outlineLevel="0" collapsed="false">
      <c r="A537" s="21" t="s">
        <v>923</v>
      </c>
      <c r="B537" s="3" t="s">
        <v>924</v>
      </c>
      <c r="C537" s="3" t="s">
        <v>881</v>
      </c>
      <c r="D537" s="3" t="n">
        <v>48.12</v>
      </c>
      <c r="E537" s="3" t="n">
        <v>-96.18</v>
      </c>
    </row>
    <row r="538" customFormat="false" ht="15" hidden="false" customHeight="false" outlineLevel="0" collapsed="false">
      <c r="A538" s="21" t="s">
        <v>925</v>
      </c>
      <c r="B538" s="3" t="s">
        <v>278</v>
      </c>
      <c r="C538" s="3" t="s">
        <v>362</v>
      </c>
      <c r="D538" s="3" t="n">
        <v>38.9072</v>
      </c>
      <c r="E538" s="3" t="n">
        <v>-77.0369</v>
      </c>
    </row>
    <row r="539" customFormat="false" ht="15" hidden="false" customHeight="false" outlineLevel="0" collapsed="false">
      <c r="A539" s="21" t="s">
        <v>926</v>
      </c>
      <c r="B539" s="3" t="s">
        <v>927</v>
      </c>
      <c r="C539" s="3" t="s">
        <v>928</v>
      </c>
      <c r="D539" s="3" t="n">
        <v>43.5446</v>
      </c>
      <c r="E539" s="3" t="n">
        <v>-96.7311</v>
      </c>
    </row>
    <row r="540" customFormat="false" ht="15" hidden="false" customHeight="false" outlineLevel="0" collapsed="false">
      <c r="A540" s="21" t="s">
        <v>929</v>
      </c>
      <c r="B540" s="3" t="s">
        <v>927</v>
      </c>
      <c r="C540" s="3" t="s">
        <v>928</v>
      </c>
      <c r="D540" s="3" t="n">
        <v>43.5446</v>
      </c>
      <c r="E540" s="3" t="n">
        <v>-96.7311</v>
      </c>
    </row>
    <row r="541" customFormat="false" ht="15" hidden="false" customHeight="false" outlineLevel="0" collapsed="false">
      <c r="A541" s="21" t="s">
        <v>930</v>
      </c>
      <c r="B541" s="3" t="s">
        <v>252</v>
      </c>
      <c r="C541" s="3" t="s">
        <v>928</v>
      </c>
      <c r="D541" s="3" t="n">
        <v>44.9</v>
      </c>
      <c r="E541" s="3" t="n">
        <v>-97.12</v>
      </c>
    </row>
    <row r="542" customFormat="false" ht="15" hidden="false" customHeight="false" outlineLevel="0" collapsed="false">
      <c r="A542" s="21" t="s">
        <v>931</v>
      </c>
      <c r="B542" s="3" t="s">
        <v>932</v>
      </c>
      <c r="C542" s="3" t="s">
        <v>928</v>
      </c>
      <c r="D542" s="3" t="n">
        <v>43.71</v>
      </c>
      <c r="E542" s="3" t="n">
        <v>-98.03</v>
      </c>
    </row>
    <row r="543" customFormat="false" ht="15" hidden="false" customHeight="false" outlineLevel="0" collapsed="false">
      <c r="A543" s="21" t="s">
        <v>933</v>
      </c>
      <c r="B543" s="3" t="s">
        <v>934</v>
      </c>
      <c r="C543" s="3" t="s">
        <v>928</v>
      </c>
      <c r="D543" s="3" t="n">
        <v>45.46</v>
      </c>
      <c r="E543" s="3" t="n">
        <v>-98.49</v>
      </c>
    </row>
    <row r="544" customFormat="false" ht="15" hidden="false" customHeight="false" outlineLevel="0" collapsed="false">
      <c r="A544" s="21" t="s">
        <v>935</v>
      </c>
      <c r="B544" s="3" t="s">
        <v>936</v>
      </c>
      <c r="C544" s="3" t="s">
        <v>928</v>
      </c>
      <c r="D544" s="3" t="n">
        <v>44.37</v>
      </c>
      <c r="E544" s="3" t="n">
        <v>-100.35</v>
      </c>
    </row>
    <row r="545" customFormat="false" ht="15" hidden="false" customHeight="false" outlineLevel="0" collapsed="false">
      <c r="A545" s="21" t="s">
        <v>937</v>
      </c>
      <c r="B545" s="3" t="s">
        <v>938</v>
      </c>
      <c r="C545" s="3" t="s">
        <v>928</v>
      </c>
      <c r="D545" s="3" t="n">
        <v>45.54</v>
      </c>
      <c r="E545" s="3" t="n">
        <v>-100.43</v>
      </c>
    </row>
    <row r="546" customFormat="false" ht="15" hidden="false" customHeight="false" outlineLevel="0" collapsed="false">
      <c r="A546" s="21" t="s">
        <v>939</v>
      </c>
      <c r="B546" s="3" t="s">
        <v>940</v>
      </c>
      <c r="C546" s="3" t="s">
        <v>928</v>
      </c>
      <c r="D546" s="3" t="n">
        <v>44.0805</v>
      </c>
      <c r="E546" s="3" t="n">
        <v>-103.231</v>
      </c>
    </row>
    <row r="547" customFormat="false" ht="15" hidden="false" customHeight="false" outlineLevel="0" collapsed="false">
      <c r="A547" s="21" t="s">
        <v>941</v>
      </c>
      <c r="B547" s="3" t="s">
        <v>942</v>
      </c>
      <c r="C547" s="3" t="s">
        <v>943</v>
      </c>
      <c r="D547" s="3" t="n">
        <v>46.8772</v>
      </c>
      <c r="E547" s="3" t="n">
        <v>-96.7898</v>
      </c>
    </row>
    <row r="548" customFormat="false" ht="15" hidden="false" customHeight="false" outlineLevel="0" collapsed="false">
      <c r="A548" s="21" t="s">
        <v>944</v>
      </c>
      <c r="B548" s="3" t="s">
        <v>942</v>
      </c>
      <c r="C548" s="3" t="s">
        <v>943</v>
      </c>
      <c r="D548" s="3" t="n">
        <v>46.8772</v>
      </c>
      <c r="E548" s="3" t="n">
        <v>-96.7898</v>
      </c>
    </row>
    <row r="549" customFormat="false" ht="15" hidden="false" customHeight="false" outlineLevel="0" collapsed="false">
      <c r="A549" s="21" t="s">
        <v>945</v>
      </c>
      <c r="B549" s="3" t="s">
        <v>946</v>
      </c>
      <c r="C549" s="3" t="s">
        <v>943</v>
      </c>
      <c r="D549" s="3" t="n">
        <v>47.9253</v>
      </c>
      <c r="E549" s="3" t="n">
        <v>-97.0329</v>
      </c>
    </row>
    <row r="550" customFormat="false" ht="15" hidden="false" customHeight="false" outlineLevel="0" collapsed="false">
      <c r="A550" s="21" t="s">
        <v>947</v>
      </c>
      <c r="B550" s="3" t="s">
        <v>948</v>
      </c>
      <c r="C550" s="3" t="s">
        <v>943</v>
      </c>
      <c r="D550" s="3" t="n">
        <v>48.11</v>
      </c>
      <c r="E550" s="3" t="n">
        <v>-98.87</v>
      </c>
    </row>
    <row r="551" customFormat="false" ht="15" hidden="false" customHeight="false" outlineLevel="0" collapsed="false">
      <c r="A551" s="21" t="s">
        <v>949</v>
      </c>
      <c r="B551" s="3" t="s">
        <v>268</v>
      </c>
      <c r="C551" s="3" t="s">
        <v>943</v>
      </c>
      <c r="D551" s="3" t="n">
        <v>46.91</v>
      </c>
      <c r="E551" s="3" t="n">
        <v>-98.71</v>
      </c>
    </row>
    <row r="552" customFormat="false" ht="15" hidden="false" customHeight="false" outlineLevel="0" collapsed="false">
      <c r="A552" s="21" t="s">
        <v>950</v>
      </c>
      <c r="B552" s="3" t="s">
        <v>951</v>
      </c>
      <c r="C552" s="3" t="s">
        <v>943</v>
      </c>
      <c r="D552" s="3" t="n">
        <v>46.8083</v>
      </c>
      <c r="E552" s="3" t="n">
        <v>-100.7837</v>
      </c>
    </row>
    <row r="553" customFormat="false" ht="15" hidden="false" customHeight="false" outlineLevel="0" collapsed="false">
      <c r="A553" s="21" t="s">
        <v>952</v>
      </c>
      <c r="B553" s="3" t="s">
        <v>953</v>
      </c>
      <c r="C553" s="3" t="s">
        <v>943</v>
      </c>
      <c r="D553" s="3" t="n">
        <v>46.88</v>
      </c>
      <c r="E553" s="3" t="n">
        <v>-102.79</v>
      </c>
    </row>
    <row r="554" customFormat="false" ht="15" hidden="false" customHeight="false" outlineLevel="0" collapsed="false">
      <c r="A554" s="21" t="s">
        <v>954</v>
      </c>
      <c r="B554" s="3" t="s">
        <v>955</v>
      </c>
      <c r="C554" s="3" t="s">
        <v>943</v>
      </c>
      <c r="D554" s="3" t="n">
        <v>48.233</v>
      </c>
      <c r="E554" s="3" t="n">
        <v>-101.2923</v>
      </c>
    </row>
    <row r="555" customFormat="false" ht="15" hidden="false" customHeight="false" outlineLevel="0" collapsed="false">
      <c r="A555" s="21" t="s">
        <v>956</v>
      </c>
      <c r="B555" s="3" t="s">
        <v>957</v>
      </c>
      <c r="C555" s="3" t="s">
        <v>943</v>
      </c>
      <c r="D555" s="3" t="n">
        <v>48.15</v>
      </c>
      <c r="E555" s="3" t="n">
        <v>-103.62</v>
      </c>
    </row>
    <row r="556" customFormat="false" ht="15" hidden="false" customHeight="false" outlineLevel="0" collapsed="false">
      <c r="A556" s="21" t="s">
        <v>958</v>
      </c>
      <c r="B556" s="3" t="s">
        <v>959</v>
      </c>
      <c r="C556" s="3" t="s">
        <v>960</v>
      </c>
      <c r="D556" s="3" t="n">
        <v>45.7833</v>
      </c>
      <c r="E556" s="3" t="n">
        <v>-108.5007</v>
      </c>
    </row>
    <row r="557" customFormat="false" ht="15" hidden="false" customHeight="false" outlineLevel="0" collapsed="false">
      <c r="A557" s="21" t="s">
        <v>961</v>
      </c>
      <c r="B557" s="3" t="s">
        <v>959</v>
      </c>
      <c r="C557" s="3" t="s">
        <v>960</v>
      </c>
      <c r="D557" s="3" t="n">
        <v>45.7833</v>
      </c>
      <c r="E557" s="3" t="n">
        <v>-108.5007</v>
      </c>
    </row>
    <row r="558" customFormat="false" ht="15" hidden="false" customHeight="false" outlineLevel="0" collapsed="false">
      <c r="A558" s="21" t="s">
        <v>962</v>
      </c>
      <c r="B558" s="3" t="s">
        <v>963</v>
      </c>
      <c r="C558" s="3" t="s">
        <v>960</v>
      </c>
      <c r="D558" s="3" t="n">
        <v>48.09</v>
      </c>
      <c r="E558" s="3" t="n">
        <v>-105.64</v>
      </c>
    </row>
    <row r="559" customFormat="false" ht="15" hidden="false" customHeight="false" outlineLevel="0" collapsed="false">
      <c r="A559" s="21" t="s">
        <v>964</v>
      </c>
      <c r="B559" s="3" t="s">
        <v>965</v>
      </c>
      <c r="C559" s="3" t="s">
        <v>960</v>
      </c>
      <c r="D559" s="3" t="n">
        <v>46.41</v>
      </c>
      <c r="E559" s="3" t="n">
        <v>-105.84</v>
      </c>
    </row>
    <row r="560" customFormat="false" ht="15" hidden="false" customHeight="false" outlineLevel="0" collapsed="false">
      <c r="A560" s="21" t="s">
        <v>966</v>
      </c>
      <c r="B560" s="3" t="s">
        <v>967</v>
      </c>
      <c r="C560" s="3" t="s">
        <v>960</v>
      </c>
      <c r="D560" s="3" t="n">
        <v>47.4942</v>
      </c>
      <c r="E560" s="3" t="n">
        <v>-111.2833</v>
      </c>
    </row>
    <row r="561" customFormat="false" ht="15" hidden="false" customHeight="false" outlineLevel="0" collapsed="false">
      <c r="A561" s="21" t="s">
        <v>968</v>
      </c>
      <c r="B561" s="3" t="s">
        <v>969</v>
      </c>
      <c r="C561" s="3" t="s">
        <v>960</v>
      </c>
      <c r="D561" s="3" t="n">
        <v>48.55</v>
      </c>
      <c r="E561" s="3" t="n">
        <v>-109.68</v>
      </c>
    </row>
    <row r="562" customFormat="false" ht="15" hidden="false" customHeight="false" outlineLevel="0" collapsed="false">
      <c r="A562" s="21" t="s">
        <v>970</v>
      </c>
      <c r="B562" s="3" t="s">
        <v>971</v>
      </c>
      <c r="C562" s="3" t="s">
        <v>960</v>
      </c>
      <c r="D562" s="3" t="n">
        <v>46.59</v>
      </c>
      <c r="E562" s="3" t="n">
        <v>-112.04</v>
      </c>
    </row>
    <row r="563" customFormat="false" ht="15" hidden="false" customHeight="false" outlineLevel="0" collapsed="false">
      <c r="A563" s="21" t="s">
        <v>972</v>
      </c>
      <c r="B563" s="3" t="s">
        <v>973</v>
      </c>
      <c r="C563" s="3" t="s">
        <v>960</v>
      </c>
      <c r="D563" s="3" t="n">
        <v>46</v>
      </c>
      <c r="E563" s="3" t="n">
        <v>-112.53</v>
      </c>
    </row>
    <row r="564" customFormat="false" ht="15" hidden="false" customHeight="false" outlineLevel="0" collapsed="false">
      <c r="A564" s="21" t="s">
        <v>974</v>
      </c>
      <c r="B564" s="3" t="s">
        <v>975</v>
      </c>
      <c r="C564" s="3" t="s">
        <v>960</v>
      </c>
      <c r="D564" s="3" t="n">
        <v>46.8787</v>
      </c>
      <c r="E564" s="3" t="n">
        <v>-113.9966</v>
      </c>
    </row>
    <row r="565" customFormat="false" ht="15" hidden="false" customHeight="false" outlineLevel="0" collapsed="false">
      <c r="A565" s="21" t="s">
        <v>976</v>
      </c>
      <c r="B565" s="3" t="s">
        <v>977</v>
      </c>
      <c r="C565" s="3" t="s">
        <v>960</v>
      </c>
      <c r="D565" s="3" t="n">
        <v>48.2</v>
      </c>
      <c r="E565" s="3" t="n">
        <v>-114.31</v>
      </c>
    </row>
    <row r="566" customFormat="false" ht="15" hidden="false" customHeight="false" outlineLevel="0" collapsed="false">
      <c r="A566" s="21" t="s">
        <v>978</v>
      </c>
      <c r="B566" s="3" t="s">
        <v>979</v>
      </c>
      <c r="C566" s="3" t="s">
        <v>980</v>
      </c>
      <c r="D566" s="3" t="n">
        <v>41.8781</v>
      </c>
      <c r="E566" s="3" t="n">
        <v>-87.6298</v>
      </c>
    </row>
    <row r="567" customFormat="false" ht="15" hidden="false" customHeight="false" outlineLevel="0" collapsed="false">
      <c r="A567" s="21" t="s">
        <v>981</v>
      </c>
      <c r="B567" s="3" t="s">
        <v>979</v>
      </c>
      <c r="C567" s="3" t="s">
        <v>980</v>
      </c>
      <c r="D567" s="3" t="n">
        <v>41.8781</v>
      </c>
      <c r="E567" s="3" t="n">
        <v>-87.6298</v>
      </c>
    </row>
    <row r="568" customFormat="false" ht="15" hidden="false" customHeight="false" outlineLevel="0" collapsed="false">
      <c r="A568" s="21" t="s">
        <v>982</v>
      </c>
      <c r="B568" s="3" t="s">
        <v>983</v>
      </c>
      <c r="C568" s="3" t="s">
        <v>980</v>
      </c>
      <c r="D568" s="3" t="n">
        <v>42.0451</v>
      </c>
      <c r="E568" s="3" t="n">
        <v>-87.6877</v>
      </c>
    </row>
    <row r="569" customFormat="false" ht="15" hidden="false" customHeight="false" outlineLevel="0" collapsed="false">
      <c r="A569" s="21" t="s">
        <v>984</v>
      </c>
      <c r="B569" s="3" t="s">
        <v>985</v>
      </c>
      <c r="C569" s="3" t="s">
        <v>980</v>
      </c>
      <c r="D569" s="3" t="n">
        <v>41.885</v>
      </c>
      <c r="E569" s="3" t="n">
        <v>-87.7845</v>
      </c>
    </row>
    <row r="570" customFormat="false" ht="15" hidden="false" customHeight="false" outlineLevel="0" collapsed="false">
      <c r="A570" s="21" t="s">
        <v>986</v>
      </c>
      <c r="B570" s="3" t="s">
        <v>979</v>
      </c>
      <c r="C570" s="3" t="s">
        <v>980</v>
      </c>
      <c r="D570" s="3" t="n">
        <v>41.8781</v>
      </c>
      <c r="E570" s="3" t="n">
        <v>-87.6298</v>
      </c>
    </row>
    <row r="571" customFormat="false" ht="15" hidden="false" customHeight="false" outlineLevel="0" collapsed="false">
      <c r="A571" s="21" t="s">
        <v>987</v>
      </c>
      <c r="B571" s="3" t="s">
        <v>979</v>
      </c>
      <c r="C571" s="3" t="s">
        <v>980</v>
      </c>
      <c r="D571" s="3" t="n">
        <v>41.8781</v>
      </c>
      <c r="E571" s="3" t="n">
        <v>-87.6298</v>
      </c>
    </row>
    <row r="572" customFormat="false" ht="15" hidden="false" customHeight="false" outlineLevel="0" collapsed="false">
      <c r="A572" s="21" t="s">
        <v>988</v>
      </c>
      <c r="B572" s="3" t="s">
        <v>979</v>
      </c>
      <c r="C572" s="3" t="s">
        <v>980</v>
      </c>
      <c r="D572" s="3" t="n">
        <v>41.8781</v>
      </c>
      <c r="E572" s="3" t="n">
        <v>-87.6298</v>
      </c>
    </row>
    <row r="573" customFormat="false" ht="15" hidden="false" customHeight="false" outlineLevel="0" collapsed="false">
      <c r="A573" s="21" t="s">
        <v>989</v>
      </c>
      <c r="B573" s="3" t="s">
        <v>979</v>
      </c>
      <c r="C573" s="3" t="s">
        <v>980</v>
      </c>
      <c r="D573" s="3" t="n">
        <v>41.8781</v>
      </c>
      <c r="E573" s="3" t="n">
        <v>-87.6298</v>
      </c>
    </row>
    <row r="574" customFormat="false" ht="15" hidden="false" customHeight="false" outlineLevel="0" collapsed="false">
      <c r="A574" s="21" t="s">
        <v>990</v>
      </c>
      <c r="B574" s="3" t="s">
        <v>979</v>
      </c>
      <c r="C574" s="3" t="s">
        <v>980</v>
      </c>
      <c r="D574" s="3" t="n">
        <v>41.8781</v>
      </c>
      <c r="E574" s="3" t="n">
        <v>-87.6298</v>
      </c>
    </row>
    <row r="575" customFormat="false" ht="15" hidden="false" customHeight="false" outlineLevel="0" collapsed="false">
      <c r="A575" s="21" t="s">
        <v>991</v>
      </c>
      <c r="B575" s="3" t="s">
        <v>992</v>
      </c>
      <c r="C575" s="3" t="s">
        <v>980</v>
      </c>
      <c r="D575" s="3" t="n">
        <v>41.12</v>
      </c>
      <c r="E575" s="3" t="n">
        <v>-87.86</v>
      </c>
    </row>
    <row r="576" customFormat="false" ht="15" hidden="false" customHeight="false" outlineLevel="0" collapsed="false">
      <c r="A576" s="21" t="s">
        <v>993</v>
      </c>
      <c r="B576" s="3" t="s">
        <v>994</v>
      </c>
      <c r="C576" s="3" t="s">
        <v>980</v>
      </c>
      <c r="D576" s="3" t="n">
        <v>42.2711</v>
      </c>
      <c r="E576" s="3" t="n">
        <v>-89.094</v>
      </c>
    </row>
    <row r="577" customFormat="false" ht="15" hidden="false" customHeight="false" outlineLevel="0" collapsed="false">
      <c r="A577" s="21" t="s">
        <v>995</v>
      </c>
      <c r="B577" s="3" t="s">
        <v>994</v>
      </c>
      <c r="C577" s="3" t="s">
        <v>980</v>
      </c>
      <c r="D577" s="3" t="n">
        <v>42.2711</v>
      </c>
      <c r="E577" s="3" t="n">
        <v>-89.094</v>
      </c>
    </row>
    <row r="578" customFormat="false" ht="15" hidden="false" customHeight="false" outlineLevel="0" collapsed="false">
      <c r="A578" s="21" t="s">
        <v>996</v>
      </c>
      <c r="B578" s="3" t="s">
        <v>997</v>
      </c>
      <c r="C578" s="3" t="s">
        <v>980</v>
      </c>
      <c r="D578" s="3" t="n">
        <v>41.5095</v>
      </c>
      <c r="E578" s="3" t="n">
        <v>-90.5787</v>
      </c>
    </row>
    <row r="579" customFormat="false" ht="15" hidden="false" customHeight="false" outlineLevel="0" collapsed="false">
      <c r="A579" s="21" t="s">
        <v>998</v>
      </c>
      <c r="B579" s="3" t="s">
        <v>999</v>
      </c>
      <c r="C579" s="3" t="s">
        <v>980</v>
      </c>
      <c r="D579" s="3" t="n">
        <v>41.33</v>
      </c>
      <c r="E579" s="3" t="n">
        <v>-89.09</v>
      </c>
    </row>
    <row r="580" customFormat="false" ht="15" hidden="false" customHeight="false" outlineLevel="0" collapsed="false">
      <c r="A580" s="21" t="s">
        <v>1000</v>
      </c>
      <c r="B580" s="3" t="s">
        <v>1001</v>
      </c>
      <c r="C580" s="3" t="s">
        <v>980</v>
      </c>
      <c r="D580" s="3" t="n">
        <v>40.95</v>
      </c>
      <c r="E580" s="3" t="n">
        <v>-90.37</v>
      </c>
    </row>
    <row r="581" customFormat="false" ht="15" hidden="false" customHeight="false" outlineLevel="0" collapsed="false">
      <c r="A581" s="21" t="s">
        <v>1002</v>
      </c>
      <c r="B581" s="3" t="s">
        <v>1003</v>
      </c>
      <c r="C581" s="3" t="s">
        <v>980</v>
      </c>
      <c r="D581" s="3" t="n">
        <v>40.6936</v>
      </c>
      <c r="E581" s="3" t="n">
        <v>-89.589</v>
      </c>
    </row>
    <row r="582" customFormat="false" ht="15" hidden="false" customHeight="false" outlineLevel="0" collapsed="false">
      <c r="A582" s="21" t="s">
        <v>1004</v>
      </c>
      <c r="B582" s="3" t="s">
        <v>1003</v>
      </c>
      <c r="C582" s="3" t="s">
        <v>980</v>
      </c>
      <c r="D582" s="3" t="n">
        <v>40.6936</v>
      </c>
      <c r="E582" s="3" t="n">
        <v>-89.589</v>
      </c>
    </row>
    <row r="583" customFormat="false" ht="15" hidden="false" customHeight="false" outlineLevel="0" collapsed="false">
      <c r="A583" s="21" t="s">
        <v>1005</v>
      </c>
      <c r="B583" s="3" t="s">
        <v>785</v>
      </c>
      <c r="C583" s="3" t="s">
        <v>980</v>
      </c>
      <c r="D583" s="3" t="n">
        <v>40.4842</v>
      </c>
      <c r="E583" s="3" t="n">
        <v>-88.9937</v>
      </c>
    </row>
    <row r="584" customFormat="false" ht="15" hidden="false" customHeight="false" outlineLevel="0" collapsed="false">
      <c r="A584" s="21" t="s">
        <v>1006</v>
      </c>
      <c r="B584" s="3" t="s">
        <v>1007</v>
      </c>
      <c r="C584" s="3" t="s">
        <v>980</v>
      </c>
      <c r="D584" s="3" t="n">
        <v>40.1106</v>
      </c>
      <c r="E584" s="3" t="n">
        <v>-88.2073</v>
      </c>
    </row>
    <row r="585" customFormat="false" ht="15" hidden="false" customHeight="false" outlineLevel="0" collapsed="false">
      <c r="A585" s="21" t="s">
        <v>1008</v>
      </c>
      <c r="B585" s="3" t="s">
        <v>1007</v>
      </c>
      <c r="C585" s="3" t="s">
        <v>980</v>
      </c>
      <c r="D585" s="3" t="n">
        <v>40.1106</v>
      </c>
      <c r="E585" s="3" t="n">
        <v>-88.2073</v>
      </c>
    </row>
    <row r="586" customFormat="false" ht="15" hidden="false" customHeight="false" outlineLevel="0" collapsed="false">
      <c r="A586" s="21" t="s">
        <v>1009</v>
      </c>
      <c r="B586" s="3" t="s">
        <v>1010</v>
      </c>
      <c r="C586" s="3" t="s">
        <v>1011</v>
      </c>
      <c r="D586" s="3" t="n">
        <v>38.627</v>
      </c>
      <c r="E586" s="3" t="n">
        <v>-90.1994</v>
      </c>
    </row>
    <row r="587" customFormat="false" ht="15" hidden="false" customHeight="false" outlineLevel="0" collapsed="false">
      <c r="A587" s="21" t="s">
        <v>1012</v>
      </c>
      <c r="B587" s="3" t="s">
        <v>1013</v>
      </c>
      <c r="C587" s="3" t="s">
        <v>980</v>
      </c>
      <c r="D587" s="3" t="n">
        <v>38.62</v>
      </c>
      <c r="E587" s="3" t="n">
        <v>-90.16</v>
      </c>
    </row>
    <row r="588" customFormat="false" ht="15" hidden="false" customHeight="false" outlineLevel="0" collapsed="false">
      <c r="A588" s="21" t="s">
        <v>1014</v>
      </c>
      <c r="B588" s="3" t="s">
        <v>1015</v>
      </c>
      <c r="C588" s="3" t="s">
        <v>980</v>
      </c>
      <c r="D588" s="3" t="n">
        <v>39.9356</v>
      </c>
      <c r="E588" s="3" t="n">
        <v>-91.4099</v>
      </c>
    </row>
    <row r="589" customFormat="false" ht="15" hidden="false" customHeight="false" outlineLevel="0" collapsed="false">
      <c r="A589" s="21" t="s">
        <v>1016</v>
      </c>
      <c r="B589" s="3" t="s">
        <v>1017</v>
      </c>
      <c r="C589" s="3" t="s">
        <v>980</v>
      </c>
      <c r="D589" s="3" t="n">
        <v>39.12</v>
      </c>
      <c r="E589" s="3" t="n">
        <v>-88.55</v>
      </c>
    </row>
    <row r="590" customFormat="false" ht="15" hidden="false" customHeight="false" outlineLevel="0" collapsed="false">
      <c r="A590" s="21" t="s">
        <v>1018</v>
      </c>
      <c r="B590" s="3" t="s">
        <v>44</v>
      </c>
      <c r="C590" s="3" t="s">
        <v>980</v>
      </c>
      <c r="D590" s="3" t="n">
        <v>39.7817</v>
      </c>
      <c r="E590" s="3" t="n">
        <v>-89.6501</v>
      </c>
    </row>
    <row r="591" customFormat="false" ht="15" hidden="false" customHeight="false" outlineLevel="0" collapsed="false">
      <c r="A591" s="21" t="s">
        <v>1019</v>
      </c>
      <c r="B591" s="3" t="s">
        <v>44</v>
      </c>
      <c r="C591" s="3" t="s">
        <v>980</v>
      </c>
      <c r="D591" s="3" t="n">
        <v>39.7817</v>
      </c>
      <c r="E591" s="3" t="n">
        <v>-89.6501</v>
      </c>
    </row>
    <row r="592" customFormat="false" ht="15" hidden="false" customHeight="false" outlineLevel="0" collapsed="false">
      <c r="A592" s="21" t="s">
        <v>1020</v>
      </c>
      <c r="B592" s="3" t="s">
        <v>44</v>
      </c>
      <c r="C592" s="3" t="s">
        <v>980</v>
      </c>
      <c r="D592" s="3" t="n">
        <v>39.7817</v>
      </c>
      <c r="E592" s="3" t="n">
        <v>-89.6501</v>
      </c>
    </row>
    <row r="593" customFormat="false" ht="15" hidden="false" customHeight="false" outlineLevel="0" collapsed="false">
      <c r="A593" s="21" t="s">
        <v>1021</v>
      </c>
      <c r="B593" s="3" t="s">
        <v>1022</v>
      </c>
      <c r="C593" s="3" t="s">
        <v>980</v>
      </c>
      <c r="D593" s="3" t="n">
        <v>38.53</v>
      </c>
      <c r="E593" s="3" t="n">
        <v>-89.13</v>
      </c>
    </row>
    <row r="594" customFormat="false" ht="15" hidden="false" customHeight="false" outlineLevel="0" collapsed="false">
      <c r="A594" s="21" t="s">
        <v>1023</v>
      </c>
      <c r="B594" s="3" t="s">
        <v>1024</v>
      </c>
      <c r="C594" s="3" t="s">
        <v>980</v>
      </c>
      <c r="D594" s="3" t="n">
        <v>37.73</v>
      </c>
      <c r="E594" s="3" t="n">
        <v>-89.22</v>
      </c>
    </row>
    <row r="595" customFormat="false" ht="15" hidden="false" customHeight="false" outlineLevel="0" collapsed="false">
      <c r="A595" s="21" t="s">
        <v>1025</v>
      </c>
      <c r="B595" s="3" t="s">
        <v>1010</v>
      </c>
      <c r="C595" s="3" t="s">
        <v>1011</v>
      </c>
      <c r="D595" s="3" t="n">
        <v>38.627</v>
      </c>
      <c r="E595" s="3" t="n">
        <v>-90.1994</v>
      </c>
    </row>
    <row r="596" customFormat="false" ht="15" hidden="false" customHeight="false" outlineLevel="0" collapsed="false">
      <c r="A596" s="21" t="s">
        <v>1026</v>
      </c>
      <c r="B596" s="3" t="s">
        <v>1010</v>
      </c>
      <c r="C596" s="3" t="s">
        <v>1011</v>
      </c>
      <c r="D596" s="3" t="n">
        <v>38.627</v>
      </c>
      <c r="E596" s="3" t="n">
        <v>-90.1994</v>
      </c>
    </row>
    <row r="597" customFormat="false" ht="15" hidden="false" customHeight="false" outlineLevel="0" collapsed="false">
      <c r="A597" s="21" t="s">
        <v>1027</v>
      </c>
      <c r="B597" s="3" t="s">
        <v>1028</v>
      </c>
      <c r="C597" s="3" t="s">
        <v>1011</v>
      </c>
      <c r="D597" s="3" t="n">
        <v>38.7881</v>
      </c>
      <c r="E597" s="3" t="n">
        <v>-90.4974</v>
      </c>
    </row>
    <row r="598" customFormat="false" ht="15" hidden="false" customHeight="false" outlineLevel="0" collapsed="false">
      <c r="A598" s="21" t="s">
        <v>1029</v>
      </c>
      <c r="B598" s="3" t="s">
        <v>1030</v>
      </c>
      <c r="C598" s="3" t="s">
        <v>1011</v>
      </c>
      <c r="D598" s="3" t="n">
        <v>39.71</v>
      </c>
      <c r="E598" s="3" t="n">
        <v>-91.36</v>
      </c>
    </row>
    <row r="599" customFormat="false" ht="15" hidden="false" customHeight="false" outlineLevel="0" collapsed="false">
      <c r="A599" s="21" t="s">
        <v>1031</v>
      </c>
      <c r="B599" s="3" t="s">
        <v>1032</v>
      </c>
      <c r="C599" s="3" t="s">
        <v>1011</v>
      </c>
      <c r="D599" s="3" t="n">
        <v>40.19</v>
      </c>
      <c r="E599" s="3" t="n">
        <v>-92.58</v>
      </c>
    </row>
    <row r="600" customFormat="false" ht="15" hidden="false" customHeight="false" outlineLevel="0" collapsed="false">
      <c r="A600" s="21" t="s">
        <v>1033</v>
      </c>
      <c r="B600" s="3" t="s">
        <v>1034</v>
      </c>
      <c r="C600" s="3" t="s">
        <v>1011</v>
      </c>
      <c r="D600" s="3" t="n">
        <v>37.85</v>
      </c>
      <c r="E600" s="3" t="n">
        <v>-90.52</v>
      </c>
    </row>
    <row r="601" customFormat="false" ht="15" hidden="false" customHeight="false" outlineLevel="0" collapsed="false">
      <c r="A601" s="21" t="s">
        <v>1035</v>
      </c>
      <c r="B601" s="3" t="s">
        <v>1036</v>
      </c>
      <c r="C601" s="3" t="s">
        <v>1011</v>
      </c>
      <c r="D601" s="3" t="n">
        <v>37.3059</v>
      </c>
      <c r="E601" s="3" t="n">
        <v>-89.5181</v>
      </c>
    </row>
    <row r="602" customFormat="false" ht="15" hidden="false" customHeight="false" outlineLevel="0" collapsed="false">
      <c r="A602" s="21" t="s">
        <v>1037</v>
      </c>
      <c r="B602" s="3" t="s">
        <v>1038</v>
      </c>
      <c r="C602" s="3" t="s">
        <v>1011</v>
      </c>
      <c r="D602" s="3" t="n">
        <v>36.88</v>
      </c>
      <c r="E602" s="3" t="n">
        <v>-89.59</v>
      </c>
    </row>
    <row r="603" customFormat="false" ht="15" hidden="false" customHeight="false" outlineLevel="0" collapsed="false">
      <c r="A603" s="21" t="s">
        <v>1039</v>
      </c>
      <c r="B603" s="3" t="s">
        <v>1040</v>
      </c>
      <c r="C603" s="3" t="s">
        <v>1011</v>
      </c>
      <c r="D603" s="3" t="n">
        <v>36.76</v>
      </c>
      <c r="E603" s="3" t="n">
        <v>-90.43</v>
      </c>
    </row>
    <row r="604" customFormat="false" ht="15" hidden="false" customHeight="false" outlineLevel="0" collapsed="false">
      <c r="A604" s="21" t="s">
        <v>1041</v>
      </c>
      <c r="B604" s="3" t="s">
        <v>1042</v>
      </c>
      <c r="C604" s="3" t="s">
        <v>1011</v>
      </c>
      <c r="D604" s="3" t="n">
        <v>39.0997</v>
      </c>
      <c r="E604" s="3" t="n">
        <v>-94.5786</v>
      </c>
    </row>
    <row r="605" customFormat="false" ht="15" hidden="false" customHeight="false" outlineLevel="0" collapsed="false">
      <c r="A605" s="21" t="s">
        <v>1043</v>
      </c>
      <c r="B605" s="3" t="s">
        <v>1042</v>
      </c>
      <c r="C605" s="3" t="s">
        <v>1011</v>
      </c>
      <c r="D605" s="3" t="n">
        <v>39.0997</v>
      </c>
      <c r="E605" s="3" t="n">
        <v>-94.5786</v>
      </c>
    </row>
    <row r="606" customFormat="false" ht="15" hidden="false" customHeight="false" outlineLevel="0" collapsed="false">
      <c r="A606" s="21" t="s">
        <v>1044</v>
      </c>
      <c r="B606" s="3" t="s">
        <v>1045</v>
      </c>
      <c r="C606" s="3" t="s">
        <v>1011</v>
      </c>
      <c r="D606" s="3" t="n">
        <v>39.7675</v>
      </c>
      <c r="E606" s="3" t="n">
        <v>-94.8467</v>
      </c>
    </row>
    <row r="607" customFormat="false" ht="15" hidden="false" customHeight="false" outlineLevel="0" collapsed="false">
      <c r="A607" s="21" t="s">
        <v>1046</v>
      </c>
      <c r="B607" s="3" t="s">
        <v>1045</v>
      </c>
      <c r="C607" s="3" t="s">
        <v>1011</v>
      </c>
      <c r="D607" s="3" t="n">
        <v>39.7675</v>
      </c>
      <c r="E607" s="3" t="n">
        <v>-94.8467</v>
      </c>
    </row>
    <row r="608" customFormat="false" ht="15" hidden="false" customHeight="false" outlineLevel="0" collapsed="false">
      <c r="A608" s="21" t="s">
        <v>1047</v>
      </c>
      <c r="B608" s="3" t="s">
        <v>759</v>
      </c>
      <c r="C608" s="3" t="s">
        <v>1011</v>
      </c>
      <c r="D608" s="3" t="n">
        <v>39.8</v>
      </c>
      <c r="E608" s="3" t="n">
        <v>-93.55</v>
      </c>
    </row>
    <row r="609" customFormat="false" ht="15" hidden="false" customHeight="false" outlineLevel="0" collapsed="false">
      <c r="A609" s="21" t="s">
        <v>1048</v>
      </c>
      <c r="B609" s="3" t="s">
        <v>1049</v>
      </c>
      <c r="C609" s="3" t="s">
        <v>1011</v>
      </c>
      <c r="D609" s="3" t="n">
        <v>38.65</v>
      </c>
      <c r="E609" s="3" t="n">
        <v>-94.35</v>
      </c>
    </row>
    <row r="610" customFormat="false" ht="15" hidden="false" customHeight="false" outlineLevel="0" collapsed="false">
      <c r="A610" s="21" t="s">
        <v>1050</v>
      </c>
      <c r="B610" s="3" t="s">
        <v>1051</v>
      </c>
      <c r="C610" s="3" t="s">
        <v>1011</v>
      </c>
      <c r="D610" s="3" t="n">
        <v>37.0842</v>
      </c>
      <c r="E610" s="3" t="n">
        <v>-94.5133</v>
      </c>
    </row>
    <row r="611" customFormat="false" ht="15" hidden="false" customHeight="false" outlineLevel="0" collapsed="false">
      <c r="A611" s="21" t="s">
        <v>1052</v>
      </c>
      <c r="B611" s="3" t="s">
        <v>1042</v>
      </c>
      <c r="C611" s="3" t="s">
        <v>1011</v>
      </c>
      <c r="D611" s="3" t="n">
        <v>39.0997</v>
      </c>
      <c r="E611" s="3" t="n">
        <v>-94.5786</v>
      </c>
    </row>
    <row r="612" customFormat="false" ht="15" hidden="false" customHeight="false" outlineLevel="0" collapsed="false">
      <c r="A612" s="21" t="s">
        <v>1053</v>
      </c>
      <c r="B612" s="3" t="s">
        <v>1054</v>
      </c>
      <c r="C612" s="3" t="s">
        <v>1011</v>
      </c>
      <c r="D612" s="3" t="n">
        <v>38.5767</v>
      </c>
      <c r="E612" s="3" t="n">
        <v>-92.1735</v>
      </c>
    </row>
    <row r="613" customFormat="false" ht="15" hidden="false" customHeight="false" outlineLevel="0" collapsed="false">
      <c r="A613" s="21" t="s">
        <v>1055</v>
      </c>
      <c r="B613" s="3" t="s">
        <v>1054</v>
      </c>
      <c r="C613" s="3" t="s">
        <v>1011</v>
      </c>
      <c r="D613" s="3" t="n">
        <v>38.5767</v>
      </c>
      <c r="E613" s="3" t="n">
        <v>-92.1735</v>
      </c>
    </row>
    <row r="614" customFormat="false" ht="15" hidden="false" customHeight="false" outlineLevel="0" collapsed="false">
      <c r="A614" s="21" t="s">
        <v>1056</v>
      </c>
      <c r="B614" s="3" t="s">
        <v>509</v>
      </c>
      <c r="C614" s="3" t="s">
        <v>1011</v>
      </c>
      <c r="D614" s="3" t="n">
        <v>38.9517</v>
      </c>
      <c r="E614" s="3" t="n">
        <v>-92.3341</v>
      </c>
    </row>
    <row r="615" customFormat="false" ht="15" hidden="false" customHeight="false" outlineLevel="0" collapsed="false">
      <c r="A615" s="21" t="s">
        <v>1057</v>
      </c>
      <c r="B615" s="3" t="s">
        <v>1058</v>
      </c>
      <c r="C615" s="3" t="s">
        <v>1011</v>
      </c>
      <c r="D615" s="3" t="n">
        <v>38.7</v>
      </c>
      <c r="E615" s="3" t="n">
        <v>-93.23</v>
      </c>
    </row>
    <row r="616" customFormat="false" ht="15" hidden="false" customHeight="false" outlineLevel="0" collapsed="false">
      <c r="A616" s="21" t="s">
        <v>1059</v>
      </c>
      <c r="B616" s="3" t="s">
        <v>1060</v>
      </c>
      <c r="C616" s="3" t="s">
        <v>1011</v>
      </c>
      <c r="D616" s="3" t="n">
        <v>37.95</v>
      </c>
      <c r="E616" s="3" t="n">
        <v>-91.77</v>
      </c>
    </row>
    <row r="617" customFormat="false" ht="15" hidden="false" customHeight="false" outlineLevel="0" collapsed="false">
      <c r="A617" s="21" t="s">
        <v>1061</v>
      </c>
      <c r="B617" s="3" t="s">
        <v>1060</v>
      </c>
      <c r="C617" s="3" t="s">
        <v>1011</v>
      </c>
      <c r="D617" s="3" t="n">
        <v>37.95</v>
      </c>
      <c r="E617" s="3" t="n">
        <v>-91.77</v>
      </c>
    </row>
    <row r="618" customFormat="false" ht="15" hidden="false" customHeight="false" outlineLevel="0" collapsed="false">
      <c r="A618" s="21" t="s">
        <v>1062</v>
      </c>
      <c r="B618" s="3" t="s">
        <v>44</v>
      </c>
      <c r="C618" s="3" t="s">
        <v>1011</v>
      </c>
      <c r="D618" s="3" t="n">
        <v>37.209</v>
      </c>
      <c r="E618" s="3" t="n">
        <v>-93.2923</v>
      </c>
    </row>
    <row r="619" customFormat="false" ht="15" hidden="false" customHeight="false" outlineLevel="0" collapsed="false">
      <c r="A619" s="21" t="s">
        <v>1063</v>
      </c>
      <c r="B619" s="3" t="s">
        <v>44</v>
      </c>
      <c r="C619" s="3" t="s">
        <v>1011</v>
      </c>
      <c r="D619" s="3" t="n">
        <v>37.209</v>
      </c>
      <c r="E619" s="3" t="n">
        <v>-93.2923</v>
      </c>
    </row>
    <row r="620" customFormat="false" ht="15" hidden="false" customHeight="false" outlineLevel="0" collapsed="false">
      <c r="A620" s="21" t="s">
        <v>1064</v>
      </c>
      <c r="B620" s="3" t="s">
        <v>44</v>
      </c>
      <c r="C620" s="3" t="s">
        <v>1011</v>
      </c>
      <c r="D620" s="3" t="n">
        <v>37.209</v>
      </c>
      <c r="E620" s="3" t="n">
        <v>-93.2923</v>
      </c>
    </row>
    <row r="621" customFormat="false" ht="15" hidden="false" customHeight="false" outlineLevel="0" collapsed="false">
      <c r="A621" s="21" t="s">
        <v>1065</v>
      </c>
      <c r="B621" s="3" t="s">
        <v>1042</v>
      </c>
      <c r="C621" s="3" t="s">
        <v>1066</v>
      </c>
      <c r="D621" s="3" t="n">
        <v>39.1141</v>
      </c>
      <c r="E621" s="3" t="n">
        <v>-94.6275</v>
      </c>
    </row>
    <row r="622" customFormat="false" ht="15" hidden="false" customHeight="false" outlineLevel="0" collapsed="false">
      <c r="A622" s="21" t="s">
        <v>1067</v>
      </c>
      <c r="B622" s="3" t="s">
        <v>1042</v>
      </c>
      <c r="C622" s="3" t="s">
        <v>1066</v>
      </c>
      <c r="D622" s="3" t="n">
        <v>39.1141</v>
      </c>
      <c r="E622" s="3" t="n">
        <v>-94.6275</v>
      </c>
    </row>
    <row r="623" customFormat="false" ht="15" hidden="false" customHeight="false" outlineLevel="0" collapsed="false">
      <c r="A623" s="21" t="s">
        <v>1068</v>
      </c>
      <c r="B623" s="3" t="s">
        <v>1069</v>
      </c>
      <c r="C623" s="3" t="s">
        <v>1066</v>
      </c>
      <c r="D623" s="3" t="n">
        <v>38.9822</v>
      </c>
      <c r="E623" s="3" t="n">
        <v>-94.6708</v>
      </c>
    </row>
    <row r="624" customFormat="false" ht="15" hidden="false" customHeight="false" outlineLevel="0" collapsed="false">
      <c r="A624" s="21" t="s">
        <v>1070</v>
      </c>
      <c r="B624" s="3" t="s">
        <v>1071</v>
      </c>
      <c r="C624" s="3" t="s">
        <v>1066</v>
      </c>
      <c r="D624" s="3" t="n">
        <v>39.0558</v>
      </c>
      <c r="E624" s="3" t="n">
        <v>-95.689</v>
      </c>
    </row>
    <row r="625" customFormat="false" ht="15" hidden="false" customHeight="false" outlineLevel="0" collapsed="false">
      <c r="A625" s="21" t="s">
        <v>1072</v>
      </c>
      <c r="B625" s="3" t="s">
        <v>1071</v>
      </c>
      <c r="C625" s="3" t="s">
        <v>1066</v>
      </c>
      <c r="D625" s="3" t="n">
        <v>39.0558</v>
      </c>
      <c r="E625" s="3" t="n">
        <v>-95.689</v>
      </c>
    </row>
    <row r="626" customFormat="false" ht="15" hidden="false" customHeight="false" outlineLevel="0" collapsed="false">
      <c r="A626" s="21" t="s">
        <v>1073</v>
      </c>
      <c r="B626" s="3" t="s">
        <v>1071</v>
      </c>
      <c r="C626" s="3" t="s">
        <v>1066</v>
      </c>
      <c r="D626" s="3" t="n">
        <v>39.0558</v>
      </c>
      <c r="E626" s="3" t="n">
        <v>-95.689</v>
      </c>
    </row>
    <row r="627" customFormat="false" ht="15" hidden="false" customHeight="false" outlineLevel="0" collapsed="false">
      <c r="A627" s="21" t="s">
        <v>1074</v>
      </c>
      <c r="B627" s="3" t="s">
        <v>1075</v>
      </c>
      <c r="C627" s="3" t="s">
        <v>1066</v>
      </c>
      <c r="D627" s="3" t="n">
        <v>37.84</v>
      </c>
      <c r="E627" s="3" t="n">
        <v>-94.71</v>
      </c>
    </row>
    <row r="628" customFormat="false" ht="15" hidden="false" customHeight="false" outlineLevel="0" collapsed="false">
      <c r="A628" s="21" t="s">
        <v>1076</v>
      </c>
      <c r="B628" s="3" t="s">
        <v>1077</v>
      </c>
      <c r="C628" s="3" t="s">
        <v>1066</v>
      </c>
      <c r="D628" s="3" t="n">
        <v>38.4</v>
      </c>
      <c r="E628" s="3" t="n">
        <v>-96.18</v>
      </c>
    </row>
    <row r="629" customFormat="false" ht="15" hidden="false" customHeight="false" outlineLevel="0" collapsed="false">
      <c r="A629" s="21" t="s">
        <v>1078</v>
      </c>
      <c r="B629" s="3" t="s">
        <v>1079</v>
      </c>
      <c r="C629" s="3" t="s">
        <v>1066</v>
      </c>
      <c r="D629" s="3" t="n">
        <v>39.57</v>
      </c>
      <c r="E629" s="3" t="n">
        <v>-97.66</v>
      </c>
    </row>
    <row r="630" customFormat="false" ht="15" hidden="false" customHeight="false" outlineLevel="0" collapsed="false">
      <c r="A630" s="21" t="s">
        <v>1080</v>
      </c>
      <c r="B630" s="3" t="s">
        <v>1081</v>
      </c>
      <c r="C630" s="3" t="s">
        <v>1066</v>
      </c>
      <c r="D630" s="3" t="n">
        <v>37.6889</v>
      </c>
      <c r="E630" s="3" t="n">
        <v>-97.3361</v>
      </c>
    </row>
    <row r="631" customFormat="false" ht="15" hidden="false" customHeight="false" outlineLevel="0" collapsed="false">
      <c r="A631" s="21" t="s">
        <v>1082</v>
      </c>
      <c r="B631" s="3" t="s">
        <v>1081</v>
      </c>
      <c r="C631" s="3" t="s">
        <v>1066</v>
      </c>
      <c r="D631" s="3" t="n">
        <v>37.6889</v>
      </c>
      <c r="E631" s="3" t="n">
        <v>-97.3361</v>
      </c>
    </row>
    <row r="632" customFormat="false" ht="15" hidden="false" customHeight="false" outlineLevel="0" collapsed="false">
      <c r="A632" s="21" t="s">
        <v>1083</v>
      </c>
      <c r="B632" s="3" t="s">
        <v>1081</v>
      </c>
      <c r="C632" s="3" t="s">
        <v>1066</v>
      </c>
      <c r="D632" s="3" t="n">
        <v>37.6889</v>
      </c>
      <c r="E632" s="3" t="n">
        <v>-97.3361</v>
      </c>
    </row>
    <row r="633" customFormat="false" ht="15" hidden="false" customHeight="false" outlineLevel="0" collapsed="false">
      <c r="A633" s="21" t="s">
        <v>1084</v>
      </c>
      <c r="B633" s="3" t="s">
        <v>1085</v>
      </c>
      <c r="C633" s="3" t="s">
        <v>1066</v>
      </c>
      <c r="D633" s="3" t="n">
        <v>37.22</v>
      </c>
      <c r="E633" s="3" t="n">
        <v>-95.71</v>
      </c>
    </row>
    <row r="634" customFormat="false" ht="15" hidden="false" customHeight="false" outlineLevel="0" collapsed="false">
      <c r="A634" s="21" t="s">
        <v>1086</v>
      </c>
      <c r="B634" s="3" t="s">
        <v>1087</v>
      </c>
      <c r="C634" s="3" t="s">
        <v>1066</v>
      </c>
      <c r="D634" s="3" t="n">
        <v>38.8403</v>
      </c>
      <c r="E634" s="3" t="n">
        <v>-97.6114</v>
      </c>
    </row>
    <row r="635" customFormat="false" ht="15" hidden="false" customHeight="false" outlineLevel="0" collapsed="false">
      <c r="A635" s="21" t="s">
        <v>1088</v>
      </c>
      <c r="B635" s="3" t="s">
        <v>1089</v>
      </c>
      <c r="C635" s="3" t="s">
        <v>1066</v>
      </c>
      <c r="D635" s="3" t="n">
        <v>38.0608</v>
      </c>
      <c r="E635" s="3" t="n">
        <v>-97.9298</v>
      </c>
    </row>
    <row r="636" customFormat="false" ht="15" hidden="false" customHeight="false" outlineLevel="0" collapsed="false">
      <c r="A636" s="21" t="s">
        <v>1090</v>
      </c>
      <c r="B636" s="3" t="s">
        <v>1091</v>
      </c>
      <c r="C636" s="3" t="s">
        <v>1066</v>
      </c>
      <c r="D636" s="3" t="n">
        <v>38.88</v>
      </c>
      <c r="E636" s="3" t="n">
        <v>-99.33</v>
      </c>
    </row>
    <row r="637" customFormat="false" ht="15" hidden="false" customHeight="false" outlineLevel="0" collapsed="false">
      <c r="A637" s="21" t="s">
        <v>1092</v>
      </c>
      <c r="B637" s="3" t="s">
        <v>1093</v>
      </c>
      <c r="C637" s="3" t="s">
        <v>1066</v>
      </c>
      <c r="D637" s="3" t="n">
        <v>39.4</v>
      </c>
      <c r="E637" s="3" t="n">
        <v>-101.05</v>
      </c>
    </row>
    <row r="638" customFormat="false" ht="15" hidden="false" customHeight="false" outlineLevel="0" collapsed="false">
      <c r="A638" s="21" t="s">
        <v>1094</v>
      </c>
      <c r="B638" s="3" t="s">
        <v>1095</v>
      </c>
      <c r="C638" s="3" t="s">
        <v>1066</v>
      </c>
      <c r="D638" s="3" t="n">
        <v>37.75</v>
      </c>
      <c r="E638" s="3" t="n">
        <v>-100.02</v>
      </c>
    </row>
    <row r="639" customFormat="false" ht="15" hidden="false" customHeight="false" outlineLevel="0" collapsed="false">
      <c r="A639" s="21" t="s">
        <v>1096</v>
      </c>
      <c r="B639" s="3" t="s">
        <v>1097</v>
      </c>
      <c r="C639" s="3" t="s">
        <v>1066</v>
      </c>
      <c r="D639" s="3" t="n">
        <v>37.04</v>
      </c>
      <c r="E639" s="3" t="n">
        <v>-100.92</v>
      </c>
    </row>
    <row r="640" customFormat="false" ht="15" hidden="false" customHeight="false" outlineLevel="0" collapsed="false">
      <c r="A640" s="21" t="s">
        <v>1098</v>
      </c>
      <c r="B640" s="3" t="s">
        <v>1099</v>
      </c>
      <c r="C640" s="3" t="s">
        <v>1100</v>
      </c>
      <c r="D640" s="3" t="n">
        <v>41.2524</v>
      </c>
      <c r="E640" s="3" t="n">
        <v>-95.998</v>
      </c>
    </row>
    <row r="641" customFormat="false" ht="15" hidden="false" customHeight="false" outlineLevel="0" collapsed="false">
      <c r="A641" s="21" t="s">
        <v>1101</v>
      </c>
      <c r="B641" s="3" t="s">
        <v>1099</v>
      </c>
      <c r="C641" s="3" t="s">
        <v>1100</v>
      </c>
      <c r="D641" s="3" t="n">
        <v>41.2524</v>
      </c>
      <c r="E641" s="3" t="n">
        <v>-95.998</v>
      </c>
    </row>
    <row r="642" customFormat="false" ht="15" hidden="false" customHeight="false" outlineLevel="0" collapsed="false">
      <c r="A642" s="21" t="s">
        <v>1102</v>
      </c>
      <c r="B642" s="3" t="s">
        <v>1099</v>
      </c>
      <c r="C642" s="3" t="s">
        <v>1100</v>
      </c>
      <c r="D642" s="3" t="n">
        <v>41.2524</v>
      </c>
      <c r="E642" s="3" t="n">
        <v>-95.998</v>
      </c>
    </row>
    <row r="643" customFormat="false" ht="15" hidden="false" customHeight="false" outlineLevel="0" collapsed="false">
      <c r="A643" s="21" t="s">
        <v>1103</v>
      </c>
      <c r="B643" s="3" t="s">
        <v>1099</v>
      </c>
      <c r="C643" s="3" t="s">
        <v>1100</v>
      </c>
      <c r="D643" s="3" t="n">
        <v>41.2524</v>
      </c>
      <c r="E643" s="3" t="n">
        <v>-95.998</v>
      </c>
    </row>
    <row r="644" customFormat="false" ht="15" hidden="false" customHeight="false" outlineLevel="0" collapsed="false">
      <c r="A644" s="21" t="s">
        <v>1104</v>
      </c>
      <c r="B644" s="3" t="s">
        <v>1105</v>
      </c>
      <c r="C644" s="3" t="s">
        <v>1100</v>
      </c>
      <c r="D644" s="3" t="n">
        <v>40.8258</v>
      </c>
      <c r="E644" s="3" t="n">
        <v>-96.6852</v>
      </c>
    </row>
    <row r="645" customFormat="false" ht="15" hidden="false" customHeight="false" outlineLevel="0" collapsed="false">
      <c r="A645" s="21" t="s">
        <v>1106</v>
      </c>
      <c r="B645" s="3" t="s">
        <v>554</v>
      </c>
      <c r="C645" s="3" t="s">
        <v>1100</v>
      </c>
      <c r="D645" s="3" t="n">
        <v>41.43</v>
      </c>
      <c r="E645" s="3" t="n">
        <v>-97.37</v>
      </c>
    </row>
    <row r="646" customFormat="false" ht="15" hidden="false" customHeight="false" outlineLevel="0" collapsed="false">
      <c r="A646" s="21" t="s">
        <v>1107</v>
      </c>
      <c r="B646" s="3" t="s">
        <v>417</v>
      </c>
      <c r="C646" s="3" t="s">
        <v>1100</v>
      </c>
      <c r="D646" s="3" t="n">
        <v>42.03</v>
      </c>
      <c r="E646" s="3" t="n">
        <v>-97.42</v>
      </c>
    </row>
    <row r="647" customFormat="false" ht="15" hidden="false" customHeight="false" outlineLevel="0" collapsed="false">
      <c r="A647" s="21" t="s">
        <v>1108</v>
      </c>
      <c r="B647" s="3" t="s">
        <v>1109</v>
      </c>
      <c r="C647" s="3" t="s">
        <v>1100</v>
      </c>
      <c r="D647" s="3" t="n">
        <v>40.9264</v>
      </c>
      <c r="E647" s="3" t="n">
        <v>-98.342</v>
      </c>
    </row>
    <row r="648" customFormat="false" ht="15" hidden="false" customHeight="false" outlineLevel="0" collapsed="false">
      <c r="A648" s="21" t="s">
        <v>1110</v>
      </c>
      <c r="B648" s="3" t="s">
        <v>1111</v>
      </c>
      <c r="C648" s="3" t="s">
        <v>1100</v>
      </c>
      <c r="D648" s="3" t="n">
        <v>40.59</v>
      </c>
      <c r="E648" s="3" t="n">
        <v>-98.39</v>
      </c>
    </row>
    <row r="649" customFormat="false" ht="15" hidden="false" customHeight="false" outlineLevel="0" collapsed="false">
      <c r="A649" s="21" t="s">
        <v>1112</v>
      </c>
      <c r="B649" s="3" t="s">
        <v>1113</v>
      </c>
      <c r="C649" s="3" t="s">
        <v>1100</v>
      </c>
      <c r="D649" s="3" t="n">
        <v>40.2</v>
      </c>
      <c r="E649" s="3" t="n">
        <v>-100.63</v>
      </c>
    </row>
    <row r="650" customFormat="false" ht="15" hidden="false" customHeight="false" outlineLevel="0" collapsed="false">
      <c r="A650" s="21" t="s">
        <v>1114</v>
      </c>
      <c r="B650" s="3" t="s">
        <v>1115</v>
      </c>
      <c r="C650" s="3" t="s">
        <v>1100</v>
      </c>
      <c r="D650" s="3" t="n">
        <v>41.14</v>
      </c>
      <c r="E650" s="3" t="n">
        <v>-100.76</v>
      </c>
    </row>
    <row r="651" customFormat="false" ht="15" hidden="false" customHeight="false" outlineLevel="0" collapsed="false">
      <c r="A651" s="21" t="s">
        <v>1116</v>
      </c>
      <c r="B651" s="3" t="s">
        <v>1117</v>
      </c>
      <c r="C651" s="3" t="s">
        <v>1100</v>
      </c>
      <c r="D651" s="3" t="n">
        <v>42.87</v>
      </c>
      <c r="E651" s="3" t="n">
        <v>-100.55</v>
      </c>
    </row>
    <row r="652" customFormat="false" ht="15" hidden="false" customHeight="false" outlineLevel="0" collapsed="false">
      <c r="A652" s="21" t="s">
        <v>1118</v>
      </c>
      <c r="B652" s="3" t="s">
        <v>1119</v>
      </c>
      <c r="C652" s="3" t="s">
        <v>1100</v>
      </c>
      <c r="D652" s="3" t="n">
        <v>42.1</v>
      </c>
      <c r="E652" s="3" t="n">
        <v>-102.87</v>
      </c>
    </row>
    <row r="653" customFormat="false" ht="15" hidden="false" customHeight="false" outlineLevel="0" collapsed="false">
      <c r="A653" s="21" t="s">
        <v>1120</v>
      </c>
      <c r="B653" s="3" t="s">
        <v>1121</v>
      </c>
      <c r="C653" s="3" t="s">
        <v>1122</v>
      </c>
      <c r="D653" s="3" t="n">
        <v>29.98</v>
      </c>
      <c r="E653" s="3" t="n">
        <v>-90.15</v>
      </c>
    </row>
    <row r="654" customFormat="false" ht="15" hidden="false" customHeight="false" outlineLevel="0" collapsed="false">
      <c r="A654" s="21" t="s">
        <v>1123</v>
      </c>
      <c r="B654" s="3" t="s">
        <v>1124</v>
      </c>
      <c r="C654" s="3" t="s">
        <v>1122</v>
      </c>
      <c r="D654" s="3" t="n">
        <v>29.9511</v>
      </c>
      <c r="E654" s="3" t="n">
        <v>-90.0715</v>
      </c>
    </row>
    <row r="655" customFormat="false" ht="15" hidden="false" customHeight="false" outlineLevel="0" collapsed="false">
      <c r="A655" s="21" t="s">
        <v>1125</v>
      </c>
      <c r="B655" s="3" t="s">
        <v>1126</v>
      </c>
      <c r="C655" s="3" t="s">
        <v>1122</v>
      </c>
      <c r="D655" s="3" t="n">
        <v>29.79</v>
      </c>
      <c r="E655" s="3" t="n">
        <v>-90.82</v>
      </c>
    </row>
    <row r="656" customFormat="false" ht="15" hidden="false" customHeight="false" outlineLevel="0" collapsed="false">
      <c r="A656" s="21" t="s">
        <v>1127</v>
      </c>
      <c r="B656" s="3" t="s">
        <v>1128</v>
      </c>
      <c r="C656" s="3" t="s">
        <v>1122</v>
      </c>
      <c r="D656" s="3" t="n">
        <v>30.5</v>
      </c>
      <c r="E656" s="3" t="n">
        <v>-90.46</v>
      </c>
    </row>
    <row r="657" customFormat="false" ht="15" hidden="false" customHeight="false" outlineLevel="0" collapsed="false">
      <c r="A657" s="21" t="s">
        <v>1129</v>
      </c>
      <c r="B657" s="3" t="s">
        <v>792</v>
      </c>
      <c r="C657" s="3" t="s">
        <v>1122</v>
      </c>
      <c r="D657" s="3" t="n">
        <v>30.2241</v>
      </c>
      <c r="E657" s="3" t="n">
        <v>-92.0198</v>
      </c>
    </row>
    <row r="658" customFormat="false" ht="15" hidden="false" customHeight="false" outlineLevel="0" collapsed="false">
      <c r="A658" s="21" t="s">
        <v>1130</v>
      </c>
      <c r="B658" s="3" t="s">
        <v>1131</v>
      </c>
      <c r="C658" s="3" t="s">
        <v>1122</v>
      </c>
      <c r="D658" s="3" t="n">
        <v>30.2266</v>
      </c>
      <c r="E658" s="3" t="n">
        <v>-93.2174</v>
      </c>
    </row>
    <row r="659" customFormat="false" ht="15" hidden="false" customHeight="false" outlineLevel="0" collapsed="false">
      <c r="A659" s="21" t="s">
        <v>1132</v>
      </c>
      <c r="B659" s="3" t="s">
        <v>1133</v>
      </c>
      <c r="C659" s="3" t="s">
        <v>1122</v>
      </c>
      <c r="D659" s="3" t="n">
        <v>30.4583</v>
      </c>
      <c r="E659" s="3" t="n">
        <v>-91.1403</v>
      </c>
    </row>
    <row r="660" customFormat="false" ht="15" hidden="false" customHeight="false" outlineLevel="0" collapsed="false">
      <c r="A660" s="21" t="s">
        <v>1134</v>
      </c>
      <c r="B660" s="3" t="s">
        <v>1133</v>
      </c>
      <c r="C660" s="3" t="s">
        <v>1122</v>
      </c>
      <c r="D660" s="3" t="n">
        <v>30.4583</v>
      </c>
      <c r="E660" s="3" t="n">
        <v>-91.1403</v>
      </c>
    </row>
    <row r="661" customFormat="false" ht="15" hidden="false" customHeight="false" outlineLevel="0" collapsed="false">
      <c r="A661" s="21" t="s">
        <v>1135</v>
      </c>
      <c r="B661" s="3" t="s">
        <v>1136</v>
      </c>
      <c r="C661" s="3" t="s">
        <v>1122</v>
      </c>
      <c r="D661" s="3" t="n">
        <v>32.5252</v>
      </c>
      <c r="E661" s="3" t="n">
        <v>-93.7502</v>
      </c>
    </row>
    <row r="662" customFormat="false" ht="15" hidden="false" customHeight="false" outlineLevel="0" collapsed="false">
      <c r="A662" s="21" t="s">
        <v>1137</v>
      </c>
      <c r="B662" s="3" t="s">
        <v>1136</v>
      </c>
      <c r="C662" s="3" t="s">
        <v>1122</v>
      </c>
      <c r="D662" s="3" t="n">
        <v>32.5252</v>
      </c>
      <c r="E662" s="3" t="n">
        <v>-93.7502</v>
      </c>
    </row>
    <row r="663" customFormat="false" ht="15" hidden="false" customHeight="false" outlineLevel="0" collapsed="false">
      <c r="A663" s="21" t="s">
        <v>1138</v>
      </c>
      <c r="B663" s="3" t="s">
        <v>1139</v>
      </c>
      <c r="C663" s="3" t="s">
        <v>1122</v>
      </c>
      <c r="D663" s="3" t="n">
        <v>32.5093</v>
      </c>
      <c r="E663" s="3" t="n">
        <v>-92.1193</v>
      </c>
    </row>
    <row r="664" customFormat="false" ht="15" hidden="false" customHeight="false" outlineLevel="0" collapsed="false">
      <c r="A664" s="21" t="s">
        <v>1140</v>
      </c>
      <c r="B664" s="3" t="s">
        <v>400</v>
      </c>
      <c r="C664" s="3" t="s">
        <v>1122</v>
      </c>
      <c r="D664" s="3" t="n">
        <v>31.3113</v>
      </c>
      <c r="E664" s="3" t="n">
        <v>-92.4451</v>
      </c>
    </row>
    <row r="665" customFormat="false" ht="15" hidden="false" customHeight="false" outlineLevel="0" collapsed="false">
      <c r="A665" s="21" t="s">
        <v>1141</v>
      </c>
      <c r="B665" s="3" t="s">
        <v>400</v>
      </c>
      <c r="C665" s="3" t="s">
        <v>1122</v>
      </c>
      <c r="D665" s="3" t="n">
        <v>31.3113</v>
      </c>
      <c r="E665" s="3" t="n">
        <v>-92.4451</v>
      </c>
    </row>
    <row r="666" customFormat="false" ht="15" hidden="false" customHeight="false" outlineLevel="0" collapsed="false">
      <c r="A666" s="21" t="s">
        <v>1142</v>
      </c>
      <c r="B666" s="3" t="s">
        <v>1143</v>
      </c>
      <c r="C666" s="3" t="s">
        <v>1144</v>
      </c>
      <c r="D666" s="3" t="n">
        <v>34.2284</v>
      </c>
      <c r="E666" s="3" t="n">
        <v>-92.0032</v>
      </c>
    </row>
    <row r="667" customFormat="false" ht="15" hidden="false" customHeight="false" outlineLevel="0" collapsed="false">
      <c r="A667" s="21" t="s">
        <v>1145</v>
      </c>
      <c r="B667" s="3" t="s">
        <v>175</v>
      </c>
      <c r="C667" s="3" t="s">
        <v>1144</v>
      </c>
      <c r="D667" s="3" t="n">
        <v>33.58</v>
      </c>
      <c r="E667" s="3" t="n">
        <v>-92.83</v>
      </c>
    </row>
    <row r="668" customFormat="false" ht="15" hidden="false" customHeight="false" outlineLevel="0" collapsed="false">
      <c r="A668" s="21" t="s">
        <v>1146</v>
      </c>
      <c r="B668" s="3" t="s">
        <v>1147</v>
      </c>
      <c r="C668" s="3" t="s">
        <v>1144</v>
      </c>
      <c r="D668" s="3" t="n">
        <v>33.44</v>
      </c>
      <c r="E668" s="3" t="n">
        <v>-94.04</v>
      </c>
    </row>
    <row r="669" customFormat="false" ht="15" hidden="false" customHeight="false" outlineLevel="0" collapsed="false">
      <c r="A669" s="21" t="s">
        <v>1148</v>
      </c>
      <c r="B669" s="3" t="s">
        <v>1149</v>
      </c>
      <c r="C669" s="3" t="s">
        <v>1144</v>
      </c>
      <c r="D669" s="3" t="n">
        <v>34.5</v>
      </c>
      <c r="E669" s="3" t="n">
        <v>-93.06</v>
      </c>
    </row>
    <row r="670" customFormat="false" ht="15" hidden="false" customHeight="false" outlineLevel="0" collapsed="false">
      <c r="A670" s="21" t="s">
        <v>1150</v>
      </c>
      <c r="B670" s="3" t="s">
        <v>1151</v>
      </c>
      <c r="C670" s="3" t="s">
        <v>1144</v>
      </c>
      <c r="D670" s="3" t="n">
        <v>34.7465</v>
      </c>
      <c r="E670" s="3" t="n">
        <v>-92.2896</v>
      </c>
    </row>
    <row r="671" customFormat="false" ht="15" hidden="false" customHeight="false" outlineLevel="0" collapsed="false">
      <c r="A671" s="21" t="s">
        <v>1152</v>
      </c>
      <c r="B671" s="3" t="s">
        <v>1151</v>
      </c>
      <c r="C671" s="3" t="s">
        <v>1144</v>
      </c>
      <c r="D671" s="3" t="n">
        <v>34.7465</v>
      </c>
      <c r="E671" s="3" t="n">
        <v>-92.2896</v>
      </c>
    </row>
    <row r="672" customFormat="false" ht="15" hidden="false" customHeight="false" outlineLevel="0" collapsed="false">
      <c r="A672" s="21" t="s">
        <v>1153</v>
      </c>
      <c r="B672" s="3" t="s">
        <v>1151</v>
      </c>
      <c r="C672" s="3" t="s">
        <v>1144</v>
      </c>
      <c r="D672" s="3" t="n">
        <v>34.7465</v>
      </c>
      <c r="E672" s="3" t="n">
        <v>-92.2896</v>
      </c>
    </row>
    <row r="673" customFormat="false" ht="15" hidden="false" customHeight="false" outlineLevel="0" collapsed="false">
      <c r="A673" s="21" t="s">
        <v>1154</v>
      </c>
      <c r="B673" s="3" t="s">
        <v>1155</v>
      </c>
      <c r="C673" s="3" t="s">
        <v>1144</v>
      </c>
      <c r="D673" s="3" t="n">
        <v>35.15</v>
      </c>
      <c r="E673" s="3" t="n">
        <v>-90.18</v>
      </c>
    </row>
    <row r="674" customFormat="false" ht="15" hidden="false" customHeight="false" outlineLevel="0" collapsed="false">
      <c r="A674" s="21" t="s">
        <v>1156</v>
      </c>
      <c r="B674" s="3" t="s">
        <v>1157</v>
      </c>
      <c r="C674" s="3" t="s">
        <v>1144</v>
      </c>
      <c r="D674" s="3" t="n">
        <v>35.8423</v>
      </c>
      <c r="E674" s="3" t="n">
        <v>-90.7043</v>
      </c>
    </row>
    <row r="675" customFormat="false" ht="15" hidden="false" customHeight="false" outlineLevel="0" collapsed="false">
      <c r="A675" s="21" t="s">
        <v>1158</v>
      </c>
      <c r="B675" s="3" t="s">
        <v>1159</v>
      </c>
      <c r="C675" s="3" t="s">
        <v>1144</v>
      </c>
      <c r="D675" s="3" t="n">
        <v>35.77</v>
      </c>
      <c r="E675" s="3" t="n">
        <v>-91.64</v>
      </c>
    </row>
    <row r="676" customFormat="false" ht="15" hidden="false" customHeight="false" outlineLevel="0" collapsed="false">
      <c r="A676" s="21" t="s">
        <v>1160</v>
      </c>
      <c r="B676" s="3" t="s">
        <v>1161</v>
      </c>
      <c r="C676" s="3" t="s">
        <v>1144</v>
      </c>
      <c r="D676" s="3" t="n">
        <v>36.23</v>
      </c>
      <c r="E676" s="3" t="n">
        <v>-93.11</v>
      </c>
    </row>
    <row r="677" customFormat="false" ht="15" hidden="false" customHeight="false" outlineLevel="0" collapsed="false">
      <c r="A677" s="21" t="s">
        <v>1162</v>
      </c>
      <c r="B677" s="3" t="s">
        <v>497</v>
      </c>
      <c r="C677" s="3" t="s">
        <v>1144</v>
      </c>
      <c r="D677" s="3" t="n">
        <v>36.0626</v>
      </c>
      <c r="E677" s="3" t="n">
        <v>-94.1574</v>
      </c>
    </row>
    <row r="678" customFormat="false" ht="15" hidden="false" customHeight="false" outlineLevel="0" collapsed="false">
      <c r="A678" s="21" t="s">
        <v>1163</v>
      </c>
      <c r="B678" s="3" t="s">
        <v>1164</v>
      </c>
      <c r="C678" s="3" t="s">
        <v>1144</v>
      </c>
      <c r="D678" s="3" t="n">
        <v>35.28</v>
      </c>
      <c r="E678" s="3" t="n">
        <v>-93.13</v>
      </c>
    </row>
    <row r="679" customFormat="false" ht="15" hidden="false" customHeight="false" outlineLevel="0" collapsed="false">
      <c r="A679" s="21" t="s">
        <v>1165</v>
      </c>
      <c r="B679" s="3" t="s">
        <v>1166</v>
      </c>
      <c r="C679" s="3" t="s">
        <v>1144</v>
      </c>
      <c r="D679" s="3" t="n">
        <v>35.3859</v>
      </c>
      <c r="E679" s="3" t="n">
        <v>-94.3985</v>
      </c>
    </row>
    <row r="680" customFormat="false" ht="15" hidden="false" customHeight="false" outlineLevel="0" collapsed="false">
      <c r="A680" s="21" t="s">
        <v>1167</v>
      </c>
      <c r="B680" s="3" t="s">
        <v>1168</v>
      </c>
      <c r="C680" s="3" t="s">
        <v>1169</v>
      </c>
      <c r="D680" s="3" t="n">
        <v>35.4676</v>
      </c>
      <c r="E680" s="3" t="n">
        <v>-97.5164</v>
      </c>
    </row>
    <row r="681" customFormat="false" ht="15" hidden="false" customHeight="false" outlineLevel="0" collapsed="false">
      <c r="A681" s="21" t="s">
        <v>1170</v>
      </c>
      <c r="B681" s="3" t="s">
        <v>1168</v>
      </c>
      <c r="C681" s="3" t="s">
        <v>1169</v>
      </c>
      <c r="D681" s="3" t="n">
        <v>35.4676</v>
      </c>
      <c r="E681" s="3" t="n">
        <v>-97.5164</v>
      </c>
    </row>
    <row r="682" customFormat="false" ht="15" hidden="false" customHeight="false" outlineLevel="0" collapsed="false">
      <c r="A682" s="21" t="s">
        <v>1171</v>
      </c>
      <c r="B682" s="3" t="s">
        <v>1172</v>
      </c>
      <c r="C682" s="3" t="s">
        <v>1173</v>
      </c>
      <c r="D682" s="3" t="n">
        <v>30.2672</v>
      </c>
      <c r="E682" s="3" t="n">
        <v>-97.7431</v>
      </c>
    </row>
    <row r="683" customFormat="false" ht="15" hidden="false" customHeight="false" outlineLevel="0" collapsed="false">
      <c r="A683" s="21" t="s">
        <v>1174</v>
      </c>
      <c r="B683" s="3" t="s">
        <v>1175</v>
      </c>
      <c r="C683" s="3" t="s">
        <v>1169</v>
      </c>
      <c r="D683" s="3" t="n">
        <v>34.17</v>
      </c>
      <c r="E683" s="3" t="n">
        <v>-97.14</v>
      </c>
    </row>
    <row r="684" customFormat="false" ht="15" hidden="false" customHeight="false" outlineLevel="0" collapsed="false">
      <c r="A684" s="21" t="s">
        <v>1176</v>
      </c>
      <c r="B684" s="3" t="s">
        <v>1177</v>
      </c>
      <c r="C684" s="3" t="s">
        <v>1169</v>
      </c>
      <c r="D684" s="3" t="n">
        <v>34.6036</v>
      </c>
      <c r="E684" s="3" t="n">
        <v>-98.3959</v>
      </c>
    </row>
    <row r="685" customFormat="false" ht="15" hidden="false" customHeight="false" outlineLevel="0" collapsed="false">
      <c r="A685" s="21" t="s">
        <v>1178</v>
      </c>
      <c r="B685" s="3" t="s">
        <v>1179</v>
      </c>
      <c r="C685" s="3" t="s">
        <v>1169</v>
      </c>
      <c r="D685" s="3" t="n">
        <v>35.52</v>
      </c>
      <c r="E685" s="3" t="n">
        <v>-98.97</v>
      </c>
    </row>
    <row r="686" customFormat="false" ht="15" hidden="false" customHeight="false" outlineLevel="0" collapsed="false">
      <c r="A686" s="21" t="s">
        <v>1180</v>
      </c>
      <c r="B686" s="3" t="s">
        <v>1181</v>
      </c>
      <c r="C686" s="3" t="s">
        <v>1169</v>
      </c>
      <c r="D686" s="3" t="n">
        <v>36.3956</v>
      </c>
      <c r="E686" s="3" t="n">
        <v>-97.8784</v>
      </c>
    </row>
    <row r="687" customFormat="false" ht="15" hidden="false" customHeight="false" outlineLevel="0" collapsed="false">
      <c r="A687" s="21" t="s">
        <v>1182</v>
      </c>
      <c r="B687" s="3" t="s">
        <v>1183</v>
      </c>
      <c r="C687" s="3" t="s">
        <v>1169</v>
      </c>
      <c r="D687" s="3" t="n">
        <v>36.43</v>
      </c>
      <c r="E687" s="3" t="n">
        <v>-99.39</v>
      </c>
    </row>
    <row r="688" customFormat="false" ht="15" hidden="false" customHeight="false" outlineLevel="0" collapsed="false">
      <c r="A688" s="21" t="s">
        <v>1184</v>
      </c>
      <c r="B688" s="3" t="s">
        <v>1097</v>
      </c>
      <c r="C688" s="3" t="s">
        <v>1066</v>
      </c>
      <c r="D688" s="3" t="n">
        <v>37.04</v>
      </c>
      <c r="E688" s="3" t="n">
        <v>-100.92</v>
      </c>
    </row>
    <row r="689" customFormat="false" ht="15" hidden="false" customHeight="false" outlineLevel="0" collapsed="false">
      <c r="A689" s="21" t="s">
        <v>1185</v>
      </c>
      <c r="B689" s="3" t="s">
        <v>1186</v>
      </c>
      <c r="C689" s="3" t="s">
        <v>1169</v>
      </c>
      <c r="D689" s="3" t="n">
        <v>36.154</v>
      </c>
      <c r="E689" s="3" t="n">
        <v>-95.9928</v>
      </c>
    </row>
    <row r="690" customFormat="false" ht="15" hidden="false" customHeight="false" outlineLevel="0" collapsed="false">
      <c r="A690" s="21" t="s">
        <v>1187</v>
      </c>
      <c r="B690" s="3" t="s">
        <v>1186</v>
      </c>
      <c r="C690" s="3" t="s">
        <v>1169</v>
      </c>
      <c r="D690" s="3" t="n">
        <v>36.154</v>
      </c>
      <c r="E690" s="3" t="n">
        <v>-95.9928</v>
      </c>
    </row>
    <row r="691" customFormat="false" ht="15" hidden="false" customHeight="false" outlineLevel="0" collapsed="false">
      <c r="A691" s="21" t="s">
        <v>1188</v>
      </c>
      <c r="B691" s="3" t="s">
        <v>1189</v>
      </c>
      <c r="C691" s="3" t="s">
        <v>1169</v>
      </c>
      <c r="D691" s="3" t="n">
        <v>36.64</v>
      </c>
      <c r="E691" s="3" t="n">
        <v>-95.15</v>
      </c>
    </row>
    <row r="692" customFormat="false" ht="15" hidden="false" customHeight="false" outlineLevel="0" collapsed="false">
      <c r="A692" s="21" t="s">
        <v>1190</v>
      </c>
      <c r="B692" s="3" t="s">
        <v>1191</v>
      </c>
      <c r="C692" s="3" t="s">
        <v>1169</v>
      </c>
      <c r="D692" s="3" t="n">
        <v>35.7479</v>
      </c>
      <c r="E692" s="3" t="n">
        <v>-95.3697</v>
      </c>
    </row>
    <row r="693" customFormat="false" ht="15" hidden="false" customHeight="false" outlineLevel="0" collapsed="false">
      <c r="A693" s="21" t="s">
        <v>1192</v>
      </c>
      <c r="B693" s="3" t="s">
        <v>1193</v>
      </c>
      <c r="C693" s="3" t="s">
        <v>1169</v>
      </c>
      <c r="D693" s="3" t="n">
        <v>34.93</v>
      </c>
      <c r="E693" s="3" t="n">
        <v>-95.77</v>
      </c>
    </row>
    <row r="694" customFormat="false" ht="15" hidden="false" customHeight="false" outlineLevel="0" collapsed="false">
      <c r="A694" s="21" t="s">
        <v>1194</v>
      </c>
      <c r="B694" s="3" t="s">
        <v>1195</v>
      </c>
      <c r="C694" s="3" t="s">
        <v>1169</v>
      </c>
      <c r="D694" s="3" t="n">
        <v>36.71</v>
      </c>
      <c r="E694" s="3" t="n">
        <v>-97.09</v>
      </c>
    </row>
    <row r="695" customFormat="false" ht="15" hidden="false" customHeight="false" outlineLevel="0" collapsed="false">
      <c r="A695" s="21" t="s">
        <v>1196</v>
      </c>
      <c r="B695" s="3" t="s">
        <v>1197</v>
      </c>
      <c r="C695" s="3" t="s">
        <v>1169</v>
      </c>
      <c r="D695" s="3" t="n">
        <v>33.99</v>
      </c>
      <c r="E695" s="3" t="n">
        <v>-96.37</v>
      </c>
    </row>
    <row r="696" customFormat="false" ht="15" hidden="false" customHeight="false" outlineLevel="0" collapsed="false">
      <c r="A696" s="21" t="s">
        <v>1198</v>
      </c>
      <c r="B696" s="3" t="s">
        <v>1199</v>
      </c>
      <c r="C696" s="3" t="s">
        <v>1169</v>
      </c>
      <c r="D696" s="3" t="n">
        <v>35.33</v>
      </c>
      <c r="E696" s="3" t="n">
        <v>-96.93</v>
      </c>
    </row>
    <row r="697" customFormat="false" ht="15" hidden="false" customHeight="false" outlineLevel="0" collapsed="false">
      <c r="A697" s="21" t="s">
        <v>1200</v>
      </c>
      <c r="B697" s="3" t="s">
        <v>1166</v>
      </c>
      <c r="C697" s="3" t="s">
        <v>1144</v>
      </c>
      <c r="D697" s="3" t="n">
        <v>35.3859</v>
      </c>
      <c r="E697" s="3" t="n">
        <v>-94.3985</v>
      </c>
    </row>
    <row r="698" customFormat="false" ht="15" hidden="false" customHeight="false" outlineLevel="0" collapsed="false">
      <c r="A698" s="21" t="s">
        <v>1201</v>
      </c>
      <c r="B698" s="3" t="s">
        <v>1202</v>
      </c>
      <c r="C698" s="3" t="s">
        <v>1173</v>
      </c>
      <c r="D698" s="3" t="n">
        <v>32.7767</v>
      </c>
      <c r="E698" s="3" t="n">
        <v>-96.797</v>
      </c>
    </row>
    <row r="699" customFormat="false" ht="15" hidden="false" customHeight="false" outlineLevel="0" collapsed="false">
      <c r="A699" s="21" t="s">
        <v>1203</v>
      </c>
      <c r="B699" s="3" t="s">
        <v>1202</v>
      </c>
      <c r="C699" s="3" t="s">
        <v>1173</v>
      </c>
      <c r="D699" s="3" t="n">
        <v>32.7767</v>
      </c>
      <c r="E699" s="3" t="n">
        <v>-96.797</v>
      </c>
    </row>
    <row r="700" customFormat="false" ht="15" hidden="false" customHeight="false" outlineLevel="0" collapsed="false">
      <c r="A700" s="21" t="s">
        <v>1204</v>
      </c>
      <c r="B700" s="3" t="s">
        <v>1202</v>
      </c>
      <c r="C700" s="3" t="s">
        <v>1173</v>
      </c>
      <c r="D700" s="3" t="n">
        <v>32.7767</v>
      </c>
      <c r="E700" s="3" t="n">
        <v>-96.797</v>
      </c>
    </row>
    <row r="701" customFormat="false" ht="15" hidden="false" customHeight="false" outlineLevel="0" collapsed="false">
      <c r="A701" s="21" t="s">
        <v>1205</v>
      </c>
      <c r="B701" s="3" t="s">
        <v>1202</v>
      </c>
      <c r="C701" s="3" t="s">
        <v>1173</v>
      </c>
      <c r="D701" s="3" t="n">
        <v>32.7767</v>
      </c>
      <c r="E701" s="3" t="n">
        <v>-96.797</v>
      </c>
    </row>
    <row r="702" customFormat="false" ht="15" hidden="false" customHeight="false" outlineLevel="0" collapsed="false">
      <c r="A702" s="21" t="s">
        <v>1206</v>
      </c>
      <c r="B702" s="3" t="s">
        <v>519</v>
      </c>
      <c r="C702" s="3" t="s">
        <v>1173</v>
      </c>
      <c r="D702" s="3" t="n">
        <v>33.14</v>
      </c>
      <c r="E702" s="3" t="n">
        <v>-96.11</v>
      </c>
    </row>
    <row r="703" customFormat="false" ht="15" hidden="false" customHeight="false" outlineLevel="0" collapsed="false">
      <c r="A703" s="21" t="s">
        <v>1207</v>
      </c>
      <c r="B703" s="3" t="s">
        <v>1147</v>
      </c>
      <c r="C703" s="3" t="s">
        <v>1173</v>
      </c>
      <c r="D703" s="3" t="n">
        <v>33.4251</v>
      </c>
      <c r="E703" s="3" t="n">
        <v>-94.0477</v>
      </c>
    </row>
    <row r="704" customFormat="false" ht="15" hidden="false" customHeight="false" outlineLevel="0" collapsed="false">
      <c r="A704" s="21" t="s">
        <v>1208</v>
      </c>
      <c r="B704" s="3" t="s">
        <v>1209</v>
      </c>
      <c r="C704" s="3" t="s">
        <v>1173</v>
      </c>
      <c r="D704" s="3" t="n">
        <v>32.5007</v>
      </c>
      <c r="E704" s="3" t="n">
        <v>-94.7405</v>
      </c>
    </row>
    <row r="705" customFormat="false" ht="15" hidden="false" customHeight="false" outlineLevel="0" collapsed="false">
      <c r="A705" s="21" t="s">
        <v>1210</v>
      </c>
      <c r="B705" s="3" t="s">
        <v>1211</v>
      </c>
      <c r="C705" s="3" t="s">
        <v>1173</v>
      </c>
      <c r="D705" s="3" t="n">
        <v>32.3513</v>
      </c>
      <c r="E705" s="3" t="n">
        <v>-95.3011</v>
      </c>
    </row>
    <row r="706" customFormat="false" ht="15" hidden="false" customHeight="false" outlineLevel="0" collapsed="false">
      <c r="A706" s="21" t="s">
        <v>1212</v>
      </c>
      <c r="B706" s="3" t="s">
        <v>1213</v>
      </c>
      <c r="C706" s="3" t="s">
        <v>1173</v>
      </c>
      <c r="D706" s="3" t="n">
        <v>31.76</v>
      </c>
      <c r="E706" s="3" t="n">
        <v>-95.63</v>
      </c>
    </row>
    <row r="707" customFormat="false" ht="15" hidden="false" customHeight="false" outlineLevel="0" collapsed="false">
      <c r="A707" s="21" t="s">
        <v>1214</v>
      </c>
      <c r="B707" s="3" t="s">
        <v>1215</v>
      </c>
      <c r="C707" s="3" t="s">
        <v>1173</v>
      </c>
      <c r="D707" s="3" t="n">
        <v>31.34</v>
      </c>
      <c r="E707" s="3" t="n">
        <v>-94.73</v>
      </c>
    </row>
    <row r="708" customFormat="false" ht="15" hidden="false" customHeight="false" outlineLevel="0" collapsed="false">
      <c r="A708" s="21" t="s">
        <v>1216</v>
      </c>
      <c r="B708" s="3" t="s">
        <v>1217</v>
      </c>
      <c r="C708" s="3" t="s">
        <v>1173</v>
      </c>
      <c r="D708" s="3" t="n">
        <v>32.7555</v>
      </c>
      <c r="E708" s="3" t="n">
        <v>-97.3308</v>
      </c>
    </row>
    <row r="709" customFormat="false" ht="15" hidden="false" customHeight="false" outlineLevel="0" collapsed="false">
      <c r="A709" s="21" t="s">
        <v>1218</v>
      </c>
      <c r="B709" s="3" t="s">
        <v>1217</v>
      </c>
      <c r="C709" s="3" t="s">
        <v>1173</v>
      </c>
      <c r="D709" s="3" t="n">
        <v>32.7555</v>
      </c>
      <c r="E709" s="3" t="n">
        <v>-97.3308</v>
      </c>
    </row>
    <row r="710" customFormat="false" ht="15" hidden="false" customHeight="false" outlineLevel="0" collapsed="false">
      <c r="A710" s="21" t="s">
        <v>1219</v>
      </c>
      <c r="B710" s="3" t="s">
        <v>1220</v>
      </c>
      <c r="C710" s="3" t="s">
        <v>1173</v>
      </c>
      <c r="D710" s="3" t="n">
        <v>33.2148</v>
      </c>
      <c r="E710" s="3" t="n">
        <v>-97.1331</v>
      </c>
    </row>
    <row r="711" customFormat="false" ht="15" hidden="false" customHeight="false" outlineLevel="0" collapsed="false">
      <c r="A711" s="21" t="s">
        <v>1221</v>
      </c>
      <c r="B711" s="3" t="s">
        <v>1222</v>
      </c>
      <c r="C711" s="3" t="s">
        <v>1173</v>
      </c>
      <c r="D711" s="3" t="n">
        <v>33.9137</v>
      </c>
      <c r="E711" s="3" t="n">
        <v>-98.4934</v>
      </c>
    </row>
    <row r="712" customFormat="false" ht="15" hidden="false" customHeight="false" outlineLevel="0" collapsed="false">
      <c r="A712" s="21" t="s">
        <v>1223</v>
      </c>
      <c r="B712" s="3" t="s">
        <v>1224</v>
      </c>
      <c r="C712" s="3" t="s">
        <v>1173</v>
      </c>
      <c r="D712" s="3" t="n">
        <v>32.22</v>
      </c>
      <c r="E712" s="3" t="n">
        <v>-98.2</v>
      </c>
    </row>
    <row r="713" customFormat="false" ht="15" hidden="false" customHeight="false" outlineLevel="0" collapsed="false">
      <c r="A713" s="21" t="s">
        <v>1225</v>
      </c>
      <c r="B713" s="3" t="s">
        <v>1226</v>
      </c>
      <c r="C713" s="3" t="s">
        <v>1173</v>
      </c>
      <c r="D713" s="3" t="n">
        <v>31.0982</v>
      </c>
      <c r="E713" s="3" t="n">
        <v>-97.3428</v>
      </c>
    </row>
    <row r="714" customFormat="false" ht="15" hidden="false" customHeight="false" outlineLevel="0" collapsed="false">
      <c r="A714" s="21" t="s">
        <v>1227</v>
      </c>
      <c r="B714" s="3" t="s">
        <v>1228</v>
      </c>
      <c r="C714" s="3" t="s">
        <v>1173</v>
      </c>
      <c r="D714" s="3" t="n">
        <v>31.5493</v>
      </c>
      <c r="E714" s="3" t="n">
        <v>-97.1467</v>
      </c>
    </row>
    <row r="715" customFormat="false" ht="15" hidden="false" customHeight="false" outlineLevel="0" collapsed="false">
      <c r="A715" s="21" t="s">
        <v>1229</v>
      </c>
      <c r="B715" s="3" t="s">
        <v>1228</v>
      </c>
      <c r="C715" s="3" t="s">
        <v>1173</v>
      </c>
      <c r="D715" s="3" t="n">
        <v>31.5493</v>
      </c>
      <c r="E715" s="3" t="n">
        <v>-97.1467</v>
      </c>
    </row>
    <row r="716" customFormat="false" ht="15" hidden="false" customHeight="false" outlineLevel="0" collapsed="false">
      <c r="A716" s="21" t="s">
        <v>1230</v>
      </c>
      <c r="B716" s="3" t="s">
        <v>1231</v>
      </c>
      <c r="C716" s="3" t="s">
        <v>1173</v>
      </c>
      <c r="D716" s="3" t="n">
        <v>31.71</v>
      </c>
      <c r="E716" s="3" t="n">
        <v>-98.99</v>
      </c>
    </row>
    <row r="717" customFormat="false" ht="15" hidden="false" customHeight="false" outlineLevel="0" collapsed="false">
      <c r="A717" s="21" t="s">
        <v>1232</v>
      </c>
      <c r="B717" s="3" t="s">
        <v>1233</v>
      </c>
      <c r="C717" s="3" t="s">
        <v>1173</v>
      </c>
      <c r="D717" s="3" t="n">
        <v>31.4638</v>
      </c>
      <c r="E717" s="3" t="n">
        <v>-100.437</v>
      </c>
    </row>
    <row r="718" customFormat="false" ht="15" hidden="false" customHeight="false" outlineLevel="0" collapsed="false">
      <c r="A718" s="21" t="s">
        <v>1234</v>
      </c>
      <c r="B718" s="3" t="s">
        <v>1235</v>
      </c>
      <c r="C718" s="3" t="s">
        <v>1173</v>
      </c>
      <c r="D718" s="3" t="n">
        <v>29.7604</v>
      </c>
      <c r="E718" s="3" t="n">
        <v>-95.3698</v>
      </c>
    </row>
    <row r="719" customFormat="false" ht="15" hidden="false" customHeight="false" outlineLevel="0" collapsed="false">
      <c r="A719" s="21" t="s">
        <v>1236</v>
      </c>
      <c r="B719" s="3" t="s">
        <v>1235</v>
      </c>
      <c r="C719" s="3" t="s">
        <v>1173</v>
      </c>
      <c r="D719" s="3" t="n">
        <v>29.7604</v>
      </c>
      <c r="E719" s="3" t="n">
        <v>-95.3698</v>
      </c>
    </row>
    <row r="720" customFormat="false" ht="15" hidden="false" customHeight="false" outlineLevel="0" collapsed="false">
      <c r="A720" s="21" t="s">
        <v>1237</v>
      </c>
      <c r="B720" s="3" t="s">
        <v>1235</v>
      </c>
      <c r="C720" s="3" t="s">
        <v>1173</v>
      </c>
      <c r="D720" s="3" t="n">
        <v>29.7604</v>
      </c>
      <c r="E720" s="3" t="n">
        <v>-95.3698</v>
      </c>
    </row>
    <row r="721" customFormat="false" ht="15" hidden="false" customHeight="false" outlineLevel="0" collapsed="false">
      <c r="A721" s="21" t="s">
        <v>1238</v>
      </c>
      <c r="B721" s="3" t="s">
        <v>1239</v>
      </c>
      <c r="C721" s="3" t="s">
        <v>1173</v>
      </c>
      <c r="D721" s="3" t="n">
        <v>30.3119</v>
      </c>
      <c r="E721" s="3" t="n">
        <v>-95.4561</v>
      </c>
    </row>
    <row r="722" customFormat="false" ht="15" hidden="false" customHeight="false" outlineLevel="0" collapsed="false">
      <c r="A722" s="21" t="s">
        <v>1240</v>
      </c>
      <c r="B722" s="3" t="s">
        <v>413</v>
      </c>
      <c r="C722" s="3" t="s">
        <v>1173</v>
      </c>
      <c r="D722" s="3" t="n">
        <v>29.58</v>
      </c>
      <c r="E722" s="3" t="n">
        <v>-95.76</v>
      </c>
    </row>
    <row r="723" customFormat="false" ht="15" hidden="false" customHeight="false" outlineLevel="0" collapsed="false">
      <c r="A723" s="21" t="s">
        <v>1241</v>
      </c>
      <c r="B723" s="3" t="s">
        <v>1242</v>
      </c>
      <c r="C723" s="3" t="s">
        <v>1173</v>
      </c>
      <c r="D723" s="3" t="n">
        <v>29.6911</v>
      </c>
      <c r="E723" s="3" t="n">
        <v>-95.2091</v>
      </c>
    </row>
    <row r="724" customFormat="false" ht="15" hidden="false" customHeight="false" outlineLevel="0" collapsed="false">
      <c r="A724" s="21" t="s">
        <v>1243</v>
      </c>
      <c r="B724" s="3" t="s">
        <v>1244</v>
      </c>
      <c r="C724" s="3" t="s">
        <v>1173</v>
      </c>
      <c r="D724" s="3" t="n">
        <v>30.0802</v>
      </c>
      <c r="E724" s="3" t="n">
        <v>-94.1266</v>
      </c>
    </row>
    <row r="725" customFormat="false" ht="15" hidden="false" customHeight="false" outlineLevel="0" collapsed="false">
      <c r="A725" s="21" t="s">
        <v>1245</v>
      </c>
      <c r="B725" s="3" t="s">
        <v>1244</v>
      </c>
      <c r="C725" s="3" t="s">
        <v>1173</v>
      </c>
      <c r="D725" s="3" t="n">
        <v>30.0802</v>
      </c>
      <c r="E725" s="3" t="n">
        <v>-94.1266</v>
      </c>
    </row>
    <row r="726" customFormat="false" ht="15" hidden="false" customHeight="false" outlineLevel="0" collapsed="false">
      <c r="A726" s="21" t="s">
        <v>1246</v>
      </c>
      <c r="B726" s="3" t="s">
        <v>1247</v>
      </c>
      <c r="C726" s="3" t="s">
        <v>1173</v>
      </c>
      <c r="D726" s="3" t="n">
        <v>30.6744</v>
      </c>
      <c r="E726" s="3" t="n">
        <v>-96.37</v>
      </c>
    </row>
    <row r="727" customFormat="false" ht="15" hidden="false" customHeight="false" outlineLevel="0" collapsed="false">
      <c r="A727" s="21" t="s">
        <v>1248</v>
      </c>
      <c r="B727" s="3" t="s">
        <v>1249</v>
      </c>
      <c r="C727" s="3" t="s">
        <v>1173</v>
      </c>
      <c r="D727" s="3" t="n">
        <v>28.8053</v>
      </c>
      <c r="E727" s="3" t="n">
        <v>-97.0036</v>
      </c>
    </row>
    <row r="728" customFormat="false" ht="15" hidden="false" customHeight="false" outlineLevel="0" collapsed="false">
      <c r="A728" s="21" t="s">
        <v>1250</v>
      </c>
      <c r="B728" s="3" t="s">
        <v>1251</v>
      </c>
      <c r="C728" s="3" t="s">
        <v>1173</v>
      </c>
      <c r="D728" s="3" t="n">
        <v>29.4241</v>
      </c>
      <c r="E728" s="3" t="n">
        <v>-98.4936</v>
      </c>
    </row>
    <row r="729" customFormat="false" ht="15" hidden="false" customHeight="false" outlineLevel="0" collapsed="false">
      <c r="A729" s="21" t="s">
        <v>1252</v>
      </c>
      <c r="B729" s="3" t="s">
        <v>1251</v>
      </c>
      <c r="C729" s="3" t="s">
        <v>1173</v>
      </c>
      <c r="D729" s="3" t="n">
        <v>29.4241</v>
      </c>
      <c r="E729" s="3" t="n">
        <v>-98.4936</v>
      </c>
    </row>
    <row r="730" customFormat="false" ht="15" hidden="false" customHeight="false" outlineLevel="0" collapsed="false">
      <c r="A730" s="21" t="s">
        <v>1253</v>
      </c>
      <c r="B730" s="3" t="s">
        <v>1251</v>
      </c>
      <c r="C730" s="3" t="s">
        <v>1173</v>
      </c>
      <c r="D730" s="3" t="n">
        <v>29.4241</v>
      </c>
      <c r="E730" s="3" t="n">
        <v>-98.4936</v>
      </c>
    </row>
    <row r="731" customFormat="false" ht="15" hidden="false" customHeight="false" outlineLevel="0" collapsed="false">
      <c r="A731" s="21" t="s">
        <v>1254</v>
      </c>
      <c r="B731" s="3" t="s">
        <v>1255</v>
      </c>
      <c r="C731" s="3" t="s">
        <v>1173</v>
      </c>
      <c r="D731" s="3" t="n">
        <v>27.8006</v>
      </c>
      <c r="E731" s="3" t="n">
        <v>-97.3964</v>
      </c>
    </row>
    <row r="732" customFormat="false" ht="15" hidden="false" customHeight="false" outlineLevel="0" collapsed="false">
      <c r="A732" s="21" t="s">
        <v>1256</v>
      </c>
      <c r="B732" s="3" t="s">
        <v>1255</v>
      </c>
      <c r="C732" s="3" t="s">
        <v>1173</v>
      </c>
      <c r="D732" s="3" t="n">
        <v>27.8006</v>
      </c>
      <c r="E732" s="3" t="n">
        <v>-97.3964</v>
      </c>
    </row>
    <row r="733" customFormat="false" ht="15" hidden="false" customHeight="false" outlineLevel="0" collapsed="false">
      <c r="A733" s="21" t="s">
        <v>1257</v>
      </c>
      <c r="B733" s="3" t="s">
        <v>1258</v>
      </c>
      <c r="C733" s="3" t="s">
        <v>1173</v>
      </c>
      <c r="D733" s="3" t="n">
        <v>26.2034</v>
      </c>
      <c r="E733" s="3" t="n">
        <v>-98.23</v>
      </c>
    </row>
    <row r="734" customFormat="false" ht="15" hidden="false" customHeight="false" outlineLevel="0" collapsed="false">
      <c r="A734" s="21" t="s">
        <v>1259</v>
      </c>
      <c r="B734" s="3" t="s">
        <v>1172</v>
      </c>
      <c r="C734" s="3" t="s">
        <v>1173</v>
      </c>
      <c r="D734" s="3" t="n">
        <v>30.2672</v>
      </c>
      <c r="E734" s="3" t="n">
        <v>-97.7431</v>
      </c>
    </row>
    <row r="735" customFormat="false" ht="15" hidden="false" customHeight="false" outlineLevel="0" collapsed="false">
      <c r="A735" s="21" t="s">
        <v>1260</v>
      </c>
      <c r="B735" s="3" t="s">
        <v>1172</v>
      </c>
      <c r="C735" s="3" t="s">
        <v>1173</v>
      </c>
      <c r="D735" s="3" t="n">
        <v>30.2672</v>
      </c>
      <c r="E735" s="3" t="n">
        <v>-97.7431</v>
      </c>
    </row>
    <row r="736" customFormat="false" ht="15" hidden="false" customHeight="false" outlineLevel="0" collapsed="false">
      <c r="A736" s="21" t="s">
        <v>1261</v>
      </c>
      <c r="B736" s="3" t="s">
        <v>1262</v>
      </c>
      <c r="C736" s="3" t="s">
        <v>1173</v>
      </c>
      <c r="D736" s="3" t="n">
        <v>29.21</v>
      </c>
      <c r="E736" s="3" t="n">
        <v>-99.79</v>
      </c>
    </row>
    <row r="737" customFormat="false" ht="15" hidden="false" customHeight="false" outlineLevel="0" collapsed="false">
      <c r="A737" s="21" t="s">
        <v>1263</v>
      </c>
      <c r="B737" s="3" t="s">
        <v>1264</v>
      </c>
      <c r="C737" s="3" t="s">
        <v>1173</v>
      </c>
      <c r="D737" s="3" t="n">
        <v>29.91</v>
      </c>
      <c r="E737" s="3" t="n">
        <v>-96.88</v>
      </c>
    </row>
    <row r="738" customFormat="false" ht="15" hidden="false" customHeight="false" outlineLevel="0" collapsed="false">
      <c r="A738" s="21" t="s">
        <v>1265</v>
      </c>
      <c r="B738" s="3" t="s">
        <v>1266</v>
      </c>
      <c r="C738" s="3" t="s">
        <v>1173</v>
      </c>
      <c r="D738" s="3" t="n">
        <v>35.222</v>
      </c>
      <c r="E738" s="3" t="n">
        <v>-101.8313</v>
      </c>
    </row>
    <row r="739" customFormat="false" ht="15" hidden="false" customHeight="false" outlineLevel="0" collapsed="false">
      <c r="A739" s="21" t="s">
        <v>1267</v>
      </c>
      <c r="B739" s="3" t="s">
        <v>1266</v>
      </c>
      <c r="C739" s="3" t="s">
        <v>1173</v>
      </c>
      <c r="D739" s="3" t="n">
        <v>35.222</v>
      </c>
      <c r="E739" s="3" t="n">
        <v>-101.8313</v>
      </c>
    </row>
    <row r="740" customFormat="false" ht="15" hidden="false" customHeight="false" outlineLevel="0" collapsed="false">
      <c r="A740" s="21" t="s">
        <v>1268</v>
      </c>
      <c r="B740" s="3" t="s">
        <v>1269</v>
      </c>
      <c r="C740" s="3" t="s">
        <v>1173</v>
      </c>
      <c r="D740" s="3" t="n">
        <v>34.43</v>
      </c>
      <c r="E740" s="3" t="n">
        <v>-100.2</v>
      </c>
    </row>
    <row r="741" customFormat="false" ht="15" hidden="false" customHeight="false" outlineLevel="0" collapsed="false">
      <c r="A741" s="21" t="s">
        <v>1270</v>
      </c>
      <c r="B741" s="3" t="s">
        <v>1271</v>
      </c>
      <c r="C741" s="3" t="s">
        <v>1173</v>
      </c>
      <c r="D741" s="3" t="n">
        <v>33.5779</v>
      </c>
      <c r="E741" s="3" t="n">
        <v>-101.8552</v>
      </c>
    </row>
    <row r="742" customFormat="false" ht="15" hidden="false" customHeight="false" outlineLevel="0" collapsed="false">
      <c r="A742" s="21" t="s">
        <v>1272</v>
      </c>
      <c r="B742" s="3" t="s">
        <v>1271</v>
      </c>
      <c r="C742" s="3" t="s">
        <v>1173</v>
      </c>
      <c r="D742" s="3" t="n">
        <v>33.5779</v>
      </c>
      <c r="E742" s="3" t="n">
        <v>-101.8552</v>
      </c>
    </row>
    <row r="743" customFormat="false" ht="15" hidden="false" customHeight="false" outlineLevel="0" collapsed="false">
      <c r="A743" s="21" t="s">
        <v>1273</v>
      </c>
      <c r="B743" s="3" t="s">
        <v>1274</v>
      </c>
      <c r="C743" s="3" t="s">
        <v>1173</v>
      </c>
      <c r="D743" s="3" t="n">
        <v>32.4487</v>
      </c>
      <c r="E743" s="3" t="n">
        <v>-99.7331</v>
      </c>
    </row>
    <row r="744" customFormat="false" ht="15" hidden="false" customHeight="false" outlineLevel="0" collapsed="false">
      <c r="A744" s="21" t="s">
        <v>1275</v>
      </c>
      <c r="B744" s="3" t="s">
        <v>1274</v>
      </c>
      <c r="C744" s="3" t="s">
        <v>1173</v>
      </c>
      <c r="D744" s="3" t="n">
        <v>32.4487</v>
      </c>
      <c r="E744" s="3" t="n">
        <v>-99.7331</v>
      </c>
    </row>
    <row r="745" customFormat="false" ht="15" hidden="false" customHeight="false" outlineLevel="0" collapsed="false">
      <c r="A745" s="21" t="s">
        <v>1276</v>
      </c>
      <c r="B745" s="3" t="s">
        <v>1277</v>
      </c>
      <c r="C745" s="3" t="s">
        <v>1173</v>
      </c>
      <c r="D745" s="3" t="n">
        <v>31.9973</v>
      </c>
      <c r="E745" s="3" t="n">
        <v>-102.0779</v>
      </c>
    </row>
    <row r="746" customFormat="false" ht="15" hidden="false" customHeight="false" outlineLevel="0" collapsed="false">
      <c r="A746" s="21" t="s">
        <v>1278</v>
      </c>
      <c r="B746" s="3" t="s">
        <v>1279</v>
      </c>
      <c r="C746" s="3" t="s">
        <v>1173</v>
      </c>
      <c r="D746" s="3" t="n">
        <v>31.7776</v>
      </c>
      <c r="E746" s="3" t="n">
        <v>-106.4425</v>
      </c>
    </row>
    <row r="747" customFormat="false" ht="15" hidden="false" customHeight="false" outlineLevel="0" collapsed="false">
      <c r="A747" s="21" t="s">
        <v>1280</v>
      </c>
      <c r="B747" s="3" t="s">
        <v>1279</v>
      </c>
      <c r="C747" s="3" t="s">
        <v>1173</v>
      </c>
      <c r="D747" s="3" t="n">
        <v>31.7776</v>
      </c>
      <c r="E747" s="3" t="n">
        <v>-106.4425</v>
      </c>
    </row>
    <row r="748" customFormat="false" ht="15" hidden="false" customHeight="false" outlineLevel="0" collapsed="false">
      <c r="A748" s="21" t="s">
        <v>1281</v>
      </c>
      <c r="B748" s="3" t="s">
        <v>1282</v>
      </c>
      <c r="C748" s="3" t="s">
        <v>1283</v>
      </c>
      <c r="D748" s="3" t="n">
        <v>39.7392</v>
      </c>
      <c r="E748" s="3" t="n">
        <v>-104.9903</v>
      </c>
    </row>
    <row r="749" customFormat="false" ht="15" hidden="false" customHeight="false" outlineLevel="0" collapsed="false">
      <c r="A749" s="21" t="s">
        <v>1284</v>
      </c>
      <c r="B749" s="3" t="s">
        <v>1282</v>
      </c>
      <c r="C749" s="3" t="s">
        <v>1283</v>
      </c>
      <c r="D749" s="3" t="n">
        <v>39.7392</v>
      </c>
      <c r="E749" s="3" t="n">
        <v>-104.9903</v>
      </c>
    </row>
    <row r="750" customFormat="false" ht="15" hidden="false" customHeight="false" outlineLevel="0" collapsed="false">
      <c r="A750" s="21" t="s">
        <v>1285</v>
      </c>
      <c r="B750" s="3" t="s">
        <v>1282</v>
      </c>
      <c r="C750" s="3" t="s">
        <v>1283</v>
      </c>
      <c r="D750" s="3" t="n">
        <v>39.7392</v>
      </c>
      <c r="E750" s="3" t="n">
        <v>-104.9903</v>
      </c>
    </row>
    <row r="751" customFormat="false" ht="15" hidden="false" customHeight="false" outlineLevel="0" collapsed="false">
      <c r="A751" s="21" t="s">
        <v>1286</v>
      </c>
      <c r="B751" s="3" t="s">
        <v>1287</v>
      </c>
      <c r="C751" s="3" t="s">
        <v>1283</v>
      </c>
      <c r="D751" s="3" t="n">
        <v>40.015</v>
      </c>
      <c r="E751" s="3" t="n">
        <v>-105.2705</v>
      </c>
    </row>
    <row r="752" customFormat="false" ht="15" hidden="false" customHeight="false" outlineLevel="0" collapsed="false">
      <c r="A752" s="21" t="s">
        <v>1288</v>
      </c>
      <c r="B752" s="3" t="s">
        <v>1289</v>
      </c>
      <c r="C752" s="3" t="s">
        <v>1283</v>
      </c>
      <c r="D752" s="3" t="n">
        <v>39.76</v>
      </c>
      <c r="E752" s="3" t="n">
        <v>-105.22</v>
      </c>
    </row>
    <row r="753" customFormat="false" ht="15" hidden="false" customHeight="false" outlineLevel="0" collapsed="false">
      <c r="A753" s="21" t="s">
        <v>1290</v>
      </c>
      <c r="B753" s="3" t="s">
        <v>1291</v>
      </c>
      <c r="C753" s="3" t="s">
        <v>1283</v>
      </c>
      <c r="D753" s="3" t="n">
        <v>40.1672</v>
      </c>
      <c r="E753" s="3" t="n">
        <v>-105.1019</v>
      </c>
    </row>
    <row r="754" customFormat="false" ht="15" hidden="false" customHeight="false" outlineLevel="0" collapsed="false">
      <c r="A754" s="21" t="s">
        <v>1292</v>
      </c>
      <c r="B754" s="3" t="s">
        <v>1293</v>
      </c>
      <c r="C754" s="3" t="s">
        <v>1283</v>
      </c>
      <c r="D754" s="3" t="n">
        <v>39.99</v>
      </c>
      <c r="E754" s="3" t="n">
        <v>-104.82</v>
      </c>
    </row>
    <row r="755" customFormat="false" ht="15" hidden="false" customHeight="false" outlineLevel="0" collapsed="false">
      <c r="A755" s="21" t="s">
        <v>1294</v>
      </c>
      <c r="B755" s="3" t="s">
        <v>1295</v>
      </c>
      <c r="C755" s="3" t="s">
        <v>1283</v>
      </c>
      <c r="D755" s="3" t="n">
        <v>40.25</v>
      </c>
      <c r="E755" s="3" t="n">
        <v>-103.8</v>
      </c>
    </row>
    <row r="756" customFormat="false" ht="15" hidden="false" customHeight="false" outlineLevel="0" collapsed="false">
      <c r="A756" s="21" t="s">
        <v>1296</v>
      </c>
      <c r="B756" s="3" t="s">
        <v>1297</v>
      </c>
      <c r="C756" s="3" t="s">
        <v>1283</v>
      </c>
      <c r="D756" s="3" t="n">
        <v>38.8339</v>
      </c>
      <c r="E756" s="3" t="n">
        <v>-104.8214</v>
      </c>
    </row>
    <row r="757" customFormat="false" ht="15" hidden="false" customHeight="false" outlineLevel="0" collapsed="false">
      <c r="A757" s="21" t="s">
        <v>1298</v>
      </c>
      <c r="B757" s="3" t="s">
        <v>1297</v>
      </c>
      <c r="C757" s="3" t="s">
        <v>1283</v>
      </c>
      <c r="D757" s="3" t="n">
        <v>38.8339</v>
      </c>
      <c r="E757" s="3" t="n">
        <v>-104.8214</v>
      </c>
    </row>
    <row r="758" customFormat="false" ht="15" hidden="false" customHeight="false" outlineLevel="0" collapsed="false">
      <c r="A758" s="21" t="s">
        <v>1299</v>
      </c>
      <c r="B758" s="3" t="s">
        <v>1300</v>
      </c>
      <c r="C758" s="3" t="s">
        <v>1283</v>
      </c>
      <c r="D758" s="3" t="n">
        <v>38.2544</v>
      </c>
      <c r="E758" s="3" t="n">
        <v>-104.6091</v>
      </c>
    </row>
    <row r="759" customFormat="false" ht="15" hidden="false" customHeight="false" outlineLevel="0" collapsed="false">
      <c r="A759" s="21" t="s">
        <v>1301</v>
      </c>
      <c r="B759" s="3" t="s">
        <v>1302</v>
      </c>
      <c r="C759" s="3" t="s">
        <v>1283</v>
      </c>
      <c r="D759" s="3" t="n">
        <v>37.47</v>
      </c>
      <c r="E759" s="3" t="n">
        <v>-105.87</v>
      </c>
    </row>
    <row r="760" customFormat="false" ht="15" hidden="false" customHeight="false" outlineLevel="0" collapsed="false">
      <c r="A760" s="21" t="s">
        <v>1303</v>
      </c>
      <c r="B760" s="3" t="s">
        <v>1304</v>
      </c>
      <c r="C760" s="3" t="s">
        <v>1283</v>
      </c>
      <c r="D760" s="3" t="n">
        <v>38.53</v>
      </c>
      <c r="E760" s="3" t="n">
        <v>-105.99</v>
      </c>
    </row>
    <row r="761" customFormat="false" ht="15" hidden="false" customHeight="false" outlineLevel="0" collapsed="false">
      <c r="A761" s="21" t="s">
        <v>1305</v>
      </c>
      <c r="B761" s="3" t="s">
        <v>1306</v>
      </c>
      <c r="C761" s="3" t="s">
        <v>1283</v>
      </c>
      <c r="D761" s="3" t="n">
        <v>37.27</v>
      </c>
      <c r="E761" s="3" t="n">
        <v>-107.88</v>
      </c>
    </row>
    <row r="762" customFormat="false" ht="15" hidden="false" customHeight="false" outlineLevel="0" collapsed="false">
      <c r="A762" s="21" t="s">
        <v>1307</v>
      </c>
      <c r="B762" s="3" t="s">
        <v>342</v>
      </c>
      <c r="C762" s="3" t="s">
        <v>1283</v>
      </c>
      <c r="D762" s="3" t="n">
        <v>38.48</v>
      </c>
      <c r="E762" s="3" t="n">
        <v>-107.88</v>
      </c>
    </row>
    <row r="763" customFormat="false" ht="15" hidden="false" customHeight="false" outlineLevel="0" collapsed="false">
      <c r="A763" s="21" t="s">
        <v>1308</v>
      </c>
      <c r="B763" s="3" t="s">
        <v>1309</v>
      </c>
      <c r="C763" s="3" t="s">
        <v>1283</v>
      </c>
      <c r="D763" s="3" t="n">
        <v>39.0639</v>
      </c>
      <c r="E763" s="3" t="n">
        <v>-108.5506</v>
      </c>
    </row>
    <row r="764" customFormat="false" ht="15" hidden="false" customHeight="false" outlineLevel="0" collapsed="false">
      <c r="A764" s="21" t="s">
        <v>1310</v>
      </c>
      <c r="B764" s="3" t="s">
        <v>1311</v>
      </c>
      <c r="C764" s="3" t="s">
        <v>1283</v>
      </c>
      <c r="D764" s="3" t="n">
        <v>39.55</v>
      </c>
      <c r="E764" s="3" t="n">
        <v>-107.32</v>
      </c>
    </row>
    <row r="765" customFormat="false" ht="15" hidden="false" customHeight="false" outlineLevel="0" collapsed="false">
      <c r="A765" s="21" t="s">
        <v>1312</v>
      </c>
      <c r="B765" s="3" t="s">
        <v>1313</v>
      </c>
      <c r="C765" s="3" t="s">
        <v>1314</v>
      </c>
      <c r="D765" s="3" t="n">
        <v>41.14</v>
      </c>
      <c r="E765" s="3" t="n">
        <v>-104.8202</v>
      </c>
    </row>
    <row r="766" customFormat="false" ht="15" hidden="false" customHeight="false" outlineLevel="0" collapsed="false">
      <c r="A766" s="21" t="s">
        <v>1315</v>
      </c>
      <c r="B766" s="3" t="s">
        <v>1316</v>
      </c>
      <c r="C766" s="3" t="s">
        <v>1314</v>
      </c>
      <c r="D766" s="3" t="n">
        <v>44.6</v>
      </c>
      <c r="E766" s="3" t="n">
        <v>-110.5</v>
      </c>
    </row>
    <row r="767" customFormat="false" ht="15" hidden="false" customHeight="false" outlineLevel="0" collapsed="false">
      <c r="A767" s="21" t="s">
        <v>1317</v>
      </c>
      <c r="B767" s="3" t="s">
        <v>1318</v>
      </c>
      <c r="C767" s="3" t="s">
        <v>1314</v>
      </c>
      <c r="D767" s="3" t="n">
        <v>42.05</v>
      </c>
      <c r="E767" s="3" t="n">
        <v>-104.95</v>
      </c>
    </row>
    <row r="768" customFormat="false" ht="15" hidden="false" customHeight="false" outlineLevel="0" collapsed="false">
      <c r="A768" s="21" t="s">
        <v>1319</v>
      </c>
      <c r="B768" s="3" t="s">
        <v>1320</v>
      </c>
      <c r="C768" s="3" t="s">
        <v>1314</v>
      </c>
      <c r="D768" s="3" t="n">
        <v>41.79</v>
      </c>
      <c r="E768" s="3" t="n">
        <v>-107.24</v>
      </c>
    </row>
    <row r="769" customFormat="false" ht="15" hidden="false" customHeight="false" outlineLevel="0" collapsed="false">
      <c r="A769" s="21" t="s">
        <v>1321</v>
      </c>
      <c r="B769" s="3" t="s">
        <v>1322</v>
      </c>
      <c r="C769" s="3" t="s">
        <v>1314</v>
      </c>
      <c r="D769" s="3" t="n">
        <v>44.02</v>
      </c>
      <c r="E769" s="3" t="n">
        <v>-107.96</v>
      </c>
    </row>
    <row r="770" customFormat="false" ht="15" hidden="false" customHeight="false" outlineLevel="0" collapsed="false">
      <c r="A770" s="21" t="s">
        <v>1323</v>
      </c>
      <c r="B770" s="3" t="s">
        <v>1324</v>
      </c>
      <c r="C770" s="3" t="s">
        <v>1314</v>
      </c>
      <c r="D770" s="3" t="n">
        <v>43.02</v>
      </c>
      <c r="E770" s="3" t="n">
        <v>-108.38</v>
      </c>
    </row>
    <row r="771" customFormat="false" ht="15" hidden="false" customHeight="false" outlineLevel="0" collapsed="false">
      <c r="A771" s="21" t="s">
        <v>1325</v>
      </c>
      <c r="B771" s="3" t="s">
        <v>1326</v>
      </c>
      <c r="C771" s="3" t="s">
        <v>1314</v>
      </c>
      <c r="D771" s="3" t="n">
        <v>42.8666</v>
      </c>
      <c r="E771" s="3" t="n">
        <v>-106.3131</v>
      </c>
    </row>
    <row r="772" customFormat="false" ht="15" hidden="false" customHeight="false" outlineLevel="0" collapsed="false">
      <c r="A772" s="21" t="s">
        <v>1327</v>
      </c>
      <c r="B772" s="3" t="s">
        <v>1328</v>
      </c>
      <c r="C772" s="3" t="s">
        <v>1314</v>
      </c>
      <c r="D772" s="3" t="n">
        <v>43.85</v>
      </c>
      <c r="E772" s="3" t="n">
        <v>-104.2</v>
      </c>
    </row>
    <row r="773" customFormat="false" ht="15" hidden="false" customHeight="false" outlineLevel="0" collapsed="false">
      <c r="A773" s="21" t="s">
        <v>1329</v>
      </c>
      <c r="B773" s="3" t="s">
        <v>1330</v>
      </c>
      <c r="C773" s="3" t="s">
        <v>1314</v>
      </c>
      <c r="D773" s="3" t="n">
        <v>44.8</v>
      </c>
      <c r="E773" s="3" t="n">
        <v>-106.96</v>
      </c>
    </row>
    <row r="774" customFormat="false" ht="15" hidden="false" customHeight="false" outlineLevel="0" collapsed="false">
      <c r="A774" s="21" t="s">
        <v>1331</v>
      </c>
      <c r="B774" s="3" t="s">
        <v>1332</v>
      </c>
      <c r="C774" s="3" t="s">
        <v>1314</v>
      </c>
      <c r="D774" s="3" t="n">
        <v>41.59</v>
      </c>
      <c r="E774" s="3" t="n">
        <v>-109.22</v>
      </c>
    </row>
    <row r="775" customFormat="false" ht="15" hidden="false" customHeight="false" outlineLevel="0" collapsed="false">
      <c r="A775" s="21" t="s">
        <v>1333</v>
      </c>
      <c r="B775" s="3" t="s">
        <v>656</v>
      </c>
      <c r="C775" s="3" t="s">
        <v>1314</v>
      </c>
      <c r="D775" s="3" t="n">
        <v>43.48</v>
      </c>
      <c r="E775" s="3" t="n">
        <v>-110.76</v>
      </c>
    </row>
    <row r="776" customFormat="false" ht="15" hidden="false" customHeight="false" outlineLevel="0" collapsed="false">
      <c r="A776" s="21" t="s">
        <v>1334</v>
      </c>
      <c r="B776" s="3" t="s">
        <v>1335</v>
      </c>
      <c r="C776" s="3" t="s">
        <v>1314</v>
      </c>
      <c r="D776" s="3" t="n">
        <v>41.79</v>
      </c>
      <c r="E776" s="3" t="n">
        <v>-110.54</v>
      </c>
    </row>
    <row r="777" customFormat="false" ht="15" hidden="false" customHeight="false" outlineLevel="0" collapsed="false">
      <c r="A777" s="21" t="s">
        <v>1336</v>
      </c>
      <c r="B777" s="3" t="s">
        <v>1337</v>
      </c>
      <c r="C777" s="3" t="s">
        <v>1338</v>
      </c>
      <c r="D777" s="3" t="n">
        <v>42.8713</v>
      </c>
      <c r="E777" s="3" t="n">
        <v>-112.4455</v>
      </c>
    </row>
    <row r="778" customFormat="false" ht="15" hidden="false" customHeight="false" outlineLevel="0" collapsed="false">
      <c r="A778" s="21" t="s">
        <v>1339</v>
      </c>
      <c r="B778" s="3" t="s">
        <v>1340</v>
      </c>
      <c r="C778" s="3" t="s">
        <v>1338</v>
      </c>
      <c r="D778" s="3" t="n">
        <v>42.563</v>
      </c>
      <c r="E778" s="3" t="n">
        <v>-114.4609</v>
      </c>
    </row>
    <row r="779" customFormat="false" ht="15" hidden="false" customHeight="false" outlineLevel="0" collapsed="false">
      <c r="A779" s="21" t="s">
        <v>1341</v>
      </c>
      <c r="B779" s="3" t="s">
        <v>1342</v>
      </c>
      <c r="C779" s="3" t="s">
        <v>1338</v>
      </c>
      <c r="D779" s="3" t="n">
        <v>43.4917</v>
      </c>
      <c r="E779" s="3" t="n">
        <v>-112.034</v>
      </c>
    </row>
    <row r="780" customFormat="false" ht="15" hidden="false" customHeight="false" outlineLevel="0" collapsed="false">
      <c r="A780" s="21" t="s">
        <v>1343</v>
      </c>
      <c r="B780" s="3" t="s">
        <v>1344</v>
      </c>
      <c r="C780" s="3" t="s">
        <v>1338</v>
      </c>
      <c r="D780" s="3" t="n">
        <v>46.42</v>
      </c>
      <c r="E780" s="3" t="n">
        <v>-117.02</v>
      </c>
    </row>
    <row r="781" customFormat="false" ht="15" hidden="false" customHeight="false" outlineLevel="0" collapsed="false">
      <c r="A781" s="21" t="s">
        <v>1345</v>
      </c>
      <c r="B781" s="3" t="s">
        <v>1346</v>
      </c>
      <c r="C781" s="3" t="s">
        <v>1338</v>
      </c>
      <c r="D781" s="3" t="n">
        <v>43.61</v>
      </c>
      <c r="E781" s="3" t="n">
        <v>-116.2</v>
      </c>
    </row>
    <row r="782" customFormat="false" ht="15" hidden="false" customHeight="false" outlineLevel="0" collapsed="false">
      <c r="A782" s="21" t="s">
        <v>1347</v>
      </c>
      <c r="B782" s="3" t="s">
        <v>1346</v>
      </c>
      <c r="C782" s="3" t="s">
        <v>1338</v>
      </c>
      <c r="D782" s="3" t="n">
        <v>43.61</v>
      </c>
      <c r="E782" s="3" t="n">
        <v>-116.2</v>
      </c>
    </row>
    <row r="783" customFormat="false" ht="15" hidden="false" customHeight="false" outlineLevel="0" collapsed="false">
      <c r="A783" s="21" t="s">
        <v>1348</v>
      </c>
      <c r="B783" s="3" t="s">
        <v>1349</v>
      </c>
      <c r="C783" s="3" t="s">
        <v>1350</v>
      </c>
      <c r="D783" s="3" t="n">
        <v>47.6588</v>
      </c>
      <c r="E783" s="3" t="n">
        <v>-117.426</v>
      </c>
    </row>
    <row r="784" customFormat="false" ht="15" hidden="false" customHeight="false" outlineLevel="0" collapsed="false">
      <c r="A784" s="21" t="s">
        <v>1351</v>
      </c>
      <c r="B784" s="3" t="s">
        <v>1352</v>
      </c>
      <c r="C784" s="3" t="s">
        <v>1353</v>
      </c>
      <c r="D784" s="3" t="n">
        <v>40.7608</v>
      </c>
      <c r="E784" s="3" t="n">
        <v>-111.891</v>
      </c>
    </row>
    <row r="785" customFormat="false" ht="15" hidden="false" customHeight="false" outlineLevel="0" collapsed="false">
      <c r="A785" s="21" t="s">
        <v>1354</v>
      </c>
      <c r="B785" s="3" t="s">
        <v>1352</v>
      </c>
      <c r="C785" s="3" t="s">
        <v>1353</v>
      </c>
      <c r="D785" s="3" t="n">
        <v>40.7608</v>
      </c>
      <c r="E785" s="3" t="n">
        <v>-111.891</v>
      </c>
    </row>
    <row r="786" customFormat="false" ht="15" hidden="false" customHeight="false" outlineLevel="0" collapsed="false">
      <c r="A786" s="21" t="s">
        <v>1355</v>
      </c>
      <c r="B786" s="3" t="s">
        <v>1356</v>
      </c>
      <c r="C786" s="3" t="s">
        <v>1353</v>
      </c>
      <c r="D786" s="3" t="n">
        <v>41.223</v>
      </c>
      <c r="E786" s="3" t="n">
        <v>-111.9738</v>
      </c>
    </row>
    <row r="787" customFormat="false" ht="15" hidden="false" customHeight="false" outlineLevel="0" collapsed="false">
      <c r="A787" s="21" t="s">
        <v>1357</v>
      </c>
      <c r="B787" s="3" t="s">
        <v>1356</v>
      </c>
      <c r="C787" s="3" t="s">
        <v>1353</v>
      </c>
      <c r="D787" s="3" t="n">
        <v>41.223</v>
      </c>
      <c r="E787" s="3" t="n">
        <v>-111.9738</v>
      </c>
    </row>
    <row r="788" customFormat="false" ht="15" hidden="false" customHeight="false" outlineLevel="0" collapsed="false">
      <c r="A788" s="21" t="s">
        <v>1358</v>
      </c>
      <c r="B788" s="3" t="s">
        <v>1356</v>
      </c>
      <c r="C788" s="3" t="s">
        <v>1353</v>
      </c>
      <c r="D788" s="3" t="n">
        <v>41.223</v>
      </c>
      <c r="E788" s="3" t="n">
        <v>-111.9738</v>
      </c>
    </row>
    <row r="789" customFormat="false" ht="15" hidden="false" customHeight="false" outlineLevel="0" collapsed="false">
      <c r="A789" s="21" t="s">
        <v>1359</v>
      </c>
      <c r="B789" s="3" t="s">
        <v>1360</v>
      </c>
      <c r="C789" s="3" t="s">
        <v>1353</v>
      </c>
      <c r="D789" s="3" t="n">
        <v>39.6</v>
      </c>
      <c r="E789" s="3" t="n">
        <v>-110.81</v>
      </c>
    </row>
    <row r="790" customFormat="false" ht="15" hidden="false" customHeight="false" outlineLevel="0" collapsed="false">
      <c r="A790" s="21" t="s">
        <v>1361</v>
      </c>
      <c r="B790" s="3" t="s">
        <v>1362</v>
      </c>
      <c r="C790" s="3" t="s">
        <v>1353</v>
      </c>
      <c r="D790" s="3" t="n">
        <v>40.2338</v>
      </c>
      <c r="E790" s="3" t="n">
        <v>-111.6585</v>
      </c>
    </row>
    <row r="791" customFormat="false" ht="15" hidden="false" customHeight="false" outlineLevel="0" collapsed="false">
      <c r="A791" s="21" t="s">
        <v>1363</v>
      </c>
      <c r="B791" s="3" t="s">
        <v>1364</v>
      </c>
      <c r="C791" s="3" t="s">
        <v>1353</v>
      </c>
      <c r="D791" s="3" t="n">
        <v>38.77</v>
      </c>
      <c r="E791" s="3" t="n">
        <v>-112.08</v>
      </c>
    </row>
    <row r="792" customFormat="false" ht="15" hidden="false" customHeight="false" outlineLevel="0" collapsed="false">
      <c r="A792" s="21" t="s">
        <v>1365</v>
      </c>
      <c r="B792" s="3" t="s">
        <v>1366</v>
      </c>
      <c r="C792" s="3" t="s">
        <v>1367</v>
      </c>
      <c r="D792" s="3" t="n">
        <v>33.4484</v>
      </c>
      <c r="E792" s="3" t="n">
        <v>-112.074</v>
      </c>
    </row>
    <row r="793" customFormat="false" ht="15" hidden="false" customHeight="false" outlineLevel="0" collapsed="false">
      <c r="A793" s="21" t="s">
        <v>1368</v>
      </c>
      <c r="B793" s="3" t="s">
        <v>1366</v>
      </c>
      <c r="C793" s="3" t="s">
        <v>1367</v>
      </c>
      <c r="D793" s="3" t="n">
        <v>33.4484</v>
      </c>
      <c r="E793" s="3" t="n">
        <v>-112.074</v>
      </c>
    </row>
    <row r="794" customFormat="false" ht="15" hidden="false" customHeight="false" outlineLevel="0" collapsed="false">
      <c r="A794" s="21" t="s">
        <v>1369</v>
      </c>
      <c r="B794" s="3" t="s">
        <v>1370</v>
      </c>
      <c r="C794" s="3" t="s">
        <v>1367</v>
      </c>
      <c r="D794" s="3" t="n">
        <v>33.4152</v>
      </c>
      <c r="E794" s="3" t="n">
        <v>-111.8315</v>
      </c>
    </row>
    <row r="795" customFormat="false" ht="15" hidden="false" customHeight="false" outlineLevel="0" collapsed="false">
      <c r="A795" s="21" t="s">
        <v>1371</v>
      </c>
      <c r="B795" s="3" t="s">
        <v>1372</v>
      </c>
      <c r="C795" s="3" t="s">
        <v>1367</v>
      </c>
      <c r="D795" s="3" t="n">
        <v>33.5387</v>
      </c>
      <c r="E795" s="3" t="n">
        <v>-112.186</v>
      </c>
    </row>
    <row r="796" customFormat="false" ht="15" hidden="false" customHeight="false" outlineLevel="0" collapsed="false">
      <c r="A796" s="21" t="s">
        <v>1373</v>
      </c>
      <c r="B796" s="3" t="s">
        <v>1374</v>
      </c>
      <c r="C796" s="3" t="s">
        <v>1367</v>
      </c>
      <c r="D796" s="3" t="n">
        <v>33.39</v>
      </c>
      <c r="E796" s="3" t="n">
        <v>-110.79</v>
      </c>
    </row>
    <row r="797" customFormat="false" ht="15" hidden="false" customHeight="false" outlineLevel="0" collapsed="false">
      <c r="A797" s="21" t="s">
        <v>1375</v>
      </c>
      <c r="B797" s="3" t="s">
        <v>1376</v>
      </c>
      <c r="C797" s="3" t="s">
        <v>1367</v>
      </c>
      <c r="D797" s="3" t="n">
        <v>32.2217</v>
      </c>
      <c r="E797" s="3" t="n">
        <v>-110.9265</v>
      </c>
    </row>
    <row r="798" customFormat="false" ht="15" hidden="false" customHeight="false" outlineLevel="0" collapsed="false">
      <c r="A798" s="21" t="s">
        <v>1377</v>
      </c>
      <c r="B798" s="3" t="s">
        <v>1376</v>
      </c>
      <c r="C798" s="3" t="s">
        <v>1367</v>
      </c>
      <c r="D798" s="3" t="n">
        <v>32.2217</v>
      </c>
      <c r="E798" s="3" t="n">
        <v>-110.9265</v>
      </c>
    </row>
    <row r="799" customFormat="false" ht="15" hidden="false" customHeight="false" outlineLevel="0" collapsed="false">
      <c r="A799" s="21" t="s">
        <v>1378</v>
      </c>
      <c r="B799" s="3" t="s">
        <v>1379</v>
      </c>
      <c r="C799" s="3" t="s">
        <v>1367</v>
      </c>
      <c r="D799" s="3" t="n">
        <v>34.25</v>
      </c>
      <c r="E799" s="3" t="n">
        <v>-110.03</v>
      </c>
    </row>
    <row r="800" customFormat="false" ht="15" hidden="false" customHeight="false" outlineLevel="0" collapsed="false">
      <c r="A800" s="21" t="s">
        <v>1380</v>
      </c>
      <c r="B800" s="3" t="s">
        <v>1381</v>
      </c>
      <c r="C800" s="3" t="s">
        <v>1367</v>
      </c>
      <c r="D800" s="3" t="n">
        <v>35.1983</v>
      </c>
      <c r="E800" s="3" t="n">
        <v>-111.6513</v>
      </c>
    </row>
    <row r="801" customFormat="false" ht="15" hidden="false" customHeight="false" outlineLevel="0" collapsed="false">
      <c r="A801" s="21" t="s">
        <v>1382</v>
      </c>
      <c r="B801" s="3" t="s">
        <v>1383</v>
      </c>
      <c r="C801" s="3" t="s">
        <v>1367</v>
      </c>
      <c r="D801" s="3" t="n">
        <v>34.54</v>
      </c>
      <c r="E801" s="3" t="n">
        <v>-112.4685</v>
      </c>
    </row>
    <row r="802" customFormat="false" ht="15" hidden="false" customHeight="false" outlineLevel="0" collapsed="false">
      <c r="A802" s="21" t="s">
        <v>1384</v>
      </c>
      <c r="B802" s="3" t="s">
        <v>1385</v>
      </c>
      <c r="C802" s="3" t="s">
        <v>1367</v>
      </c>
      <c r="D802" s="3" t="n">
        <v>35.19</v>
      </c>
      <c r="E802" s="3" t="n">
        <v>-114.05</v>
      </c>
    </row>
    <row r="803" customFormat="false" ht="15" hidden="false" customHeight="false" outlineLevel="0" collapsed="false">
      <c r="A803" s="21" t="s">
        <v>1386</v>
      </c>
      <c r="B803" s="3" t="s">
        <v>1387</v>
      </c>
      <c r="C803" s="3" t="s">
        <v>1388</v>
      </c>
      <c r="D803" s="3" t="n">
        <v>35.53</v>
      </c>
      <c r="E803" s="3" t="n">
        <v>-108.74</v>
      </c>
    </row>
    <row r="804" customFormat="false" ht="15" hidden="false" customHeight="false" outlineLevel="0" collapsed="false">
      <c r="A804" s="21" t="s">
        <v>1389</v>
      </c>
      <c r="B804" s="3" t="s">
        <v>1390</v>
      </c>
      <c r="C804" s="3" t="s">
        <v>1388</v>
      </c>
      <c r="D804" s="3" t="n">
        <v>35.0853</v>
      </c>
      <c r="E804" s="3" t="n">
        <v>-106.6056</v>
      </c>
    </row>
    <row r="805" customFormat="false" ht="15" hidden="false" customHeight="false" outlineLevel="0" collapsed="false">
      <c r="A805" s="21" t="s">
        <v>1391</v>
      </c>
      <c r="B805" s="3" t="s">
        <v>1390</v>
      </c>
      <c r="C805" s="3" t="s">
        <v>1388</v>
      </c>
      <c r="D805" s="3" t="n">
        <v>35.0853</v>
      </c>
      <c r="E805" s="3" t="n">
        <v>-106.6056</v>
      </c>
    </row>
    <row r="806" customFormat="false" ht="15" hidden="false" customHeight="false" outlineLevel="0" collapsed="false">
      <c r="A806" s="21" t="s">
        <v>1392</v>
      </c>
      <c r="B806" s="3" t="s">
        <v>1387</v>
      </c>
      <c r="C806" s="3" t="s">
        <v>1388</v>
      </c>
      <c r="D806" s="3" t="n">
        <v>35.53</v>
      </c>
      <c r="E806" s="3" t="n">
        <v>-108.74</v>
      </c>
    </row>
    <row r="807" customFormat="false" ht="15" hidden="false" customHeight="false" outlineLevel="0" collapsed="false">
      <c r="A807" s="21" t="s">
        <v>1393</v>
      </c>
      <c r="B807" s="3" t="s">
        <v>1394</v>
      </c>
      <c r="C807" s="3" t="s">
        <v>1388</v>
      </c>
      <c r="D807" s="3" t="n">
        <v>36.7281</v>
      </c>
      <c r="E807" s="3" t="n">
        <v>-108.2187</v>
      </c>
    </row>
    <row r="808" customFormat="false" ht="15" hidden="false" customHeight="false" outlineLevel="0" collapsed="false">
      <c r="A808" s="21" t="s">
        <v>1395</v>
      </c>
      <c r="B808" s="3" t="s">
        <v>1396</v>
      </c>
      <c r="C808" s="3" t="s">
        <v>1388</v>
      </c>
      <c r="D808" s="3" t="n">
        <v>35.687</v>
      </c>
      <c r="E808" s="3" t="n">
        <v>-105.9378</v>
      </c>
    </row>
    <row r="809" customFormat="false" ht="15" hidden="false" customHeight="false" outlineLevel="0" collapsed="false">
      <c r="A809" s="21" t="s">
        <v>1397</v>
      </c>
      <c r="B809" s="3" t="s">
        <v>1398</v>
      </c>
      <c r="C809" s="3" t="s">
        <v>1388</v>
      </c>
      <c r="D809" s="3" t="n">
        <v>35.59</v>
      </c>
      <c r="E809" s="3" t="n">
        <v>-105.22</v>
      </c>
    </row>
    <row r="810" customFormat="false" ht="15" hidden="false" customHeight="false" outlineLevel="0" collapsed="false">
      <c r="A810" s="21" t="s">
        <v>1399</v>
      </c>
      <c r="B810" s="3" t="s">
        <v>1400</v>
      </c>
      <c r="C810" s="3" t="s">
        <v>1388</v>
      </c>
      <c r="D810" s="3" t="n">
        <v>34.06</v>
      </c>
      <c r="E810" s="3" t="n">
        <v>-106.89</v>
      </c>
    </row>
    <row r="811" customFormat="false" ht="15" hidden="false" customHeight="false" outlineLevel="0" collapsed="false">
      <c r="A811" s="21" t="s">
        <v>1401</v>
      </c>
      <c r="B811" s="3" t="s">
        <v>1402</v>
      </c>
      <c r="C811" s="3" t="s">
        <v>1388</v>
      </c>
      <c r="D811" s="3" t="n">
        <v>33.13</v>
      </c>
      <c r="E811" s="3" t="n">
        <v>-107.25</v>
      </c>
    </row>
    <row r="812" customFormat="false" ht="15" hidden="false" customHeight="false" outlineLevel="0" collapsed="false">
      <c r="A812" s="21" t="s">
        <v>1403</v>
      </c>
      <c r="B812" s="3" t="s">
        <v>1404</v>
      </c>
      <c r="C812" s="3" t="s">
        <v>1388</v>
      </c>
      <c r="D812" s="3" t="n">
        <v>32.3199</v>
      </c>
      <c r="E812" s="3" t="n">
        <v>-106.7637</v>
      </c>
    </row>
    <row r="813" customFormat="false" ht="15" hidden="false" customHeight="false" outlineLevel="0" collapsed="false">
      <c r="A813" s="21" t="s">
        <v>1405</v>
      </c>
      <c r="B813" s="3" t="s">
        <v>1406</v>
      </c>
      <c r="C813" s="3" t="s">
        <v>1388</v>
      </c>
      <c r="D813" s="3" t="n">
        <v>34.4048</v>
      </c>
      <c r="E813" s="3" t="n">
        <v>-103.2052</v>
      </c>
    </row>
    <row r="814" customFormat="false" ht="15" hidden="false" customHeight="false" outlineLevel="0" collapsed="false">
      <c r="A814" s="21" t="s">
        <v>1407</v>
      </c>
      <c r="B814" s="3" t="s">
        <v>1408</v>
      </c>
      <c r="C814" s="3" t="s">
        <v>1388</v>
      </c>
      <c r="D814" s="3" t="n">
        <v>33.3943</v>
      </c>
      <c r="E814" s="3" t="n">
        <v>-104.523</v>
      </c>
    </row>
    <row r="815" customFormat="false" ht="15" hidden="false" customHeight="false" outlineLevel="0" collapsed="false">
      <c r="A815" s="21" t="s">
        <v>1409</v>
      </c>
      <c r="B815" s="3" t="s">
        <v>1410</v>
      </c>
      <c r="C815" s="3" t="s">
        <v>1388</v>
      </c>
      <c r="D815" s="3" t="n">
        <v>33.64</v>
      </c>
      <c r="E815" s="3" t="n">
        <v>-105.88</v>
      </c>
    </row>
    <row r="816" customFormat="false" ht="15" hidden="false" customHeight="false" outlineLevel="0" collapsed="false">
      <c r="A816" s="21" t="s">
        <v>1411</v>
      </c>
      <c r="B816" s="3" t="s">
        <v>1412</v>
      </c>
      <c r="C816" s="3" t="s">
        <v>1388</v>
      </c>
      <c r="D816" s="3" t="n">
        <v>35.17</v>
      </c>
      <c r="E816" s="3" t="n">
        <v>-103.72</v>
      </c>
    </row>
    <row r="817" customFormat="false" ht="15" hidden="false" customHeight="false" outlineLevel="0" collapsed="false">
      <c r="A817" s="21" t="s">
        <v>1413</v>
      </c>
      <c r="B817" s="3" t="s">
        <v>1279</v>
      </c>
      <c r="C817" s="3" t="s">
        <v>1173</v>
      </c>
      <c r="D817" s="3" t="n">
        <v>31.7776</v>
      </c>
      <c r="E817" s="3" t="n">
        <v>-106.4425</v>
      </c>
    </row>
    <row r="818" customFormat="false" ht="15" hidden="false" customHeight="false" outlineLevel="0" collapsed="false">
      <c r="A818" s="21" t="s">
        <v>1414</v>
      </c>
      <c r="B818" s="3" t="s">
        <v>1415</v>
      </c>
      <c r="C818" s="3" t="s">
        <v>1416</v>
      </c>
      <c r="D818" s="3" t="n">
        <v>36.14</v>
      </c>
      <c r="E818" s="3" t="n">
        <v>-115.3</v>
      </c>
    </row>
    <row r="819" customFormat="false" ht="15" hidden="false" customHeight="false" outlineLevel="0" collapsed="false">
      <c r="A819" s="21" t="s">
        <v>1417</v>
      </c>
      <c r="B819" s="3" t="s">
        <v>1398</v>
      </c>
      <c r="C819" s="3" t="s">
        <v>1416</v>
      </c>
      <c r="D819" s="3" t="n">
        <v>36.1699</v>
      </c>
      <c r="E819" s="3" t="n">
        <v>-115.1398</v>
      </c>
    </row>
    <row r="820" customFormat="false" ht="15" hidden="false" customHeight="false" outlineLevel="0" collapsed="false">
      <c r="A820" s="21" t="s">
        <v>1418</v>
      </c>
      <c r="B820" s="3" t="s">
        <v>1398</v>
      </c>
      <c r="C820" s="3" t="s">
        <v>1416</v>
      </c>
      <c r="D820" s="3" t="n">
        <v>36.1699</v>
      </c>
      <c r="E820" s="3" t="n">
        <v>-115.1398</v>
      </c>
    </row>
    <row r="821" customFormat="false" ht="15" hidden="false" customHeight="false" outlineLevel="0" collapsed="false">
      <c r="A821" s="21" t="s">
        <v>1419</v>
      </c>
      <c r="B821" s="3" t="s">
        <v>1420</v>
      </c>
      <c r="C821" s="3" t="s">
        <v>1416</v>
      </c>
      <c r="D821" s="3" t="n">
        <v>39.25</v>
      </c>
      <c r="E821" s="3" t="n">
        <v>-114.89</v>
      </c>
    </row>
    <row r="822" customFormat="false" ht="15" hidden="false" customHeight="false" outlineLevel="0" collapsed="false">
      <c r="A822" s="21" t="s">
        <v>1421</v>
      </c>
      <c r="B822" s="3" t="s">
        <v>1422</v>
      </c>
      <c r="C822" s="3" t="s">
        <v>1416</v>
      </c>
      <c r="D822" s="3" t="n">
        <v>39.5296</v>
      </c>
      <c r="E822" s="3" t="n">
        <v>-119.8138</v>
      </c>
    </row>
    <row r="823" customFormat="false" ht="15" hidden="false" customHeight="false" outlineLevel="0" collapsed="false">
      <c r="A823" s="21" t="s">
        <v>1423</v>
      </c>
      <c r="B823" s="3" t="s">
        <v>1422</v>
      </c>
      <c r="C823" s="3" t="s">
        <v>1416</v>
      </c>
      <c r="D823" s="3" t="n">
        <v>39.5296</v>
      </c>
      <c r="E823" s="3" t="n">
        <v>-119.8138</v>
      </c>
    </row>
    <row r="824" customFormat="false" ht="15" hidden="false" customHeight="false" outlineLevel="0" collapsed="false">
      <c r="A824" s="21" t="s">
        <v>1424</v>
      </c>
      <c r="B824" s="3" t="s">
        <v>1425</v>
      </c>
      <c r="C824" s="3" t="s">
        <v>1416</v>
      </c>
      <c r="D824" s="3" t="n">
        <v>39.1638</v>
      </c>
      <c r="E824" s="3" t="n">
        <v>-119.7674</v>
      </c>
    </row>
    <row r="825" customFormat="false" ht="15" hidden="false" customHeight="false" outlineLevel="0" collapsed="false">
      <c r="A825" s="21" t="s">
        <v>1426</v>
      </c>
      <c r="B825" s="3" t="s">
        <v>1427</v>
      </c>
      <c r="C825" s="3" t="s">
        <v>1416</v>
      </c>
      <c r="D825" s="3" t="n">
        <v>40.83</v>
      </c>
      <c r="E825" s="3" t="n">
        <v>-115.76</v>
      </c>
    </row>
    <row r="826" customFormat="false" ht="15" hidden="false" customHeight="false" outlineLevel="0" collapsed="false">
      <c r="A826" s="21" t="s">
        <v>1428</v>
      </c>
      <c r="B826" s="3" t="s">
        <v>1429</v>
      </c>
      <c r="C826" s="3" t="s">
        <v>1430</v>
      </c>
      <c r="D826" s="3" t="n">
        <v>34.0522</v>
      </c>
      <c r="E826" s="3" t="n">
        <v>-118.2437</v>
      </c>
    </row>
    <row r="827" customFormat="false" ht="15" hidden="false" customHeight="false" outlineLevel="0" collapsed="false">
      <c r="A827" s="21" t="s">
        <v>1431</v>
      </c>
      <c r="B827" s="3" t="s">
        <v>1429</v>
      </c>
      <c r="C827" s="3" t="s">
        <v>1430</v>
      </c>
      <c r="D827" s="3" t="n">
        <v>34.0522</v>
      </c>
      <c r="E827" s="3" t="n">
        <v>-118.2437</v>
      </c>
    </row>
    <row r="828" customFormat="false" ht="15" hidden="false" customHeight="false" outlineLevel="0" collapsed="false">
      <c r="A828" s="21" t="s">
        <v>1432</v>
      </c>
      <c r="B828" s="3" t="s">
        <v>1429</v>
      </c>
      <c r="C828" s="3" t="s">
        <v>1430</v>
      </c>
      <c r="D828" s="3" t="n">
        <v>34.0522</v>
      </c>
      <c r="E828" s="3" t="n">
        <v>-118.2437</v>
      </c>
    </row>
    <row r="829" customFormat="false" ht="15" hidden="false" customHeight="false" outlineLevel="0" collapsed="false">
      <c r="A829" s="21" t="s">
        <v>1433</v>
      </c>
      <c r="B829" s="3" t="s">
        <v>1434</v>
      </c>
      <c r="C829" s="3" t="s">
        <v>1430</v>
      </c>
      <c r="D829" s="3" t="n">
        <v>33.9617</v>
      </c>
      <c r="E829" s="3" t="n">
        <v>-118.3531</v>
      </c>
    </row>
    <row r="830" customFormat="false" ht="15" hidden="false" customHeight="false" outlineLevel="0" collapsed="false">
      <c r="A830" s="21" t="s">
        <v>1435</v>
      </c>
      <c r="B830" s="3" t="s">
        <v>1436</v>
      </c>
      <c r="C830" s="3" t="s">
        <v>1430</v>
      </c>
      <c r="D830" s="3" t="n">
        <v>34.0195</v>
      </c>
      <c r="E830" s="3" t="n">
        <v>-118.4912</v>
      </c>
    </row>
    <row r="831" customFormat="false" ht="15" hidden="false" customHeight="false" outlineLevel="0" collapsed="false">
      <c r="A831" s="21" t="s">
        <v>1437</v>
      </c>
      <c r="B831" s="3" t="s">
        <v>1438</v>
      </c>
      <c r="C831" s="3" t="s">
        <v>1430</v>
      </c>
      <c r="D831" s="3" t="n">
        <v>33.8358</v>
      </c>
      <c r="E831" s="3" t="n">
        <v>-118.3406</v>
      </c>
    </row>
    <row r="832" customFormat="false" ht="15" hidden="false" customHeight="false" outlineLevel="0" collapsed="false">
      <c r="A832" s="21" t="s">
        <v>1439</v>
      </c>
      <c r="B832" s="3" t="s">
        <v>1440</v>
      </c>
      <c r="C832" s="3" t="s">
        <v>1430</v>
      </c>
      <c r="D832" s="3" t="n">
        <v>33.9792</v>
      </c>
      <c r="E832" s="3" t="n">
        <v>-118.0328</v>
      </c>
    </row>
    <row r="833" customFormat="false" ht="15" hidden="false" customHeight="false" outlineLevel="0" collapsed="false">
      <c r="A833" s="21" t="s">
        <v>1441</v>
      </c>
      <c r="B833" s="3" t="s">
        <v>1442</v>
      </c>
      <c r="C833" s="3" t="s">
        <v>1430</v>
      </c>
      <c r="D833" s="3" t="n">
        <v>33.7701</v>
      </c>
      <c r="E833" s="3" t="n">
        <v>-118.1937</v>
      </c>
    </row>
    <row r="834" customFormat="false" ht="15" hidden="false" customHeight="false" outlineLevel="0" collapsed="false">
      <c r="A834" s="21" t="s">
        <v>1443</v>
      </c>
      <c r="B834" s="3" t="s">
        <v>1442</v>
      </c>
      <c r="C834" s="3" t="s">
        <v>1430</v>
      </c>
      <c r="D834" s="3" t="n">
        <v>33.7701</v>
      </c>
      <c r="E834" s="3" t="n">
        <v>-118.1937</v>
      </c>
    </row>
    <row r="835" customFormat="false" ht="15" hidden="false" customHeight="false" outlineLevel="0" collapsed="false">
      <c r="A835" s="21" t="s">
        <v>1444</v>
      </c>
      <c r="B835" s="3" t="s">
        <v>1242</v>
      </c>
      <c r="C835" s="3" t="s">
        <v>1430</v>
      </c>
      <c r="D835" s="3" t="n">
        <v>34.1478</v>
      </c>
      <c r="E835" s="3" t="n">
        <v>-118.1445</v>
      </c>
    </row>
    <row r="836" customFormat="false" ht="15" hidden="false" customHeight="false" outlineLevel="0" collapsed="false">
      <c r="A836" s="21" t="s">
        <v>1445</v>
      </c>
      <c r="B836" s="3" t="s">
        <v>1242</v>
      </c>
      <c r="C836" s="3" t="s">
        <v>1430</v>
      </c>
      <c r="D836" s="3" t="n">
        <v>34.1478</v>
      </c>
      <c r="E836" s="3" t="n">
        <v>-118.1445</v>
      </c>
    </row>
    <row r="837" customFormat="false" ht="15" hidden="false" customHeight="false" outlineLevel="0" collapsed="false">
      <c r="A837" s="21" t="s">
        <v>1446</v>
      </c>
      <c r="B837" s="3" t="s">
        <v>1372</v>
      </c>
      <c r="C837" s="3" t="s">
        <v>1430</v>
      </c>
      <c r="D837" s="3" t="n">
        <v>34.1425</v>
      </c>
      <c r="E837" s="3" t="n">
        <v>-118.2551</v>
      </c>
    </row>
    <row r="838" customFormat="false" ht="15" hidden="false" customHeight="false" outlineLevel="0" collapsed="false">
      <c r="A838" s="21" t="s">
        <v>1447</v>
      </c>
      <c r="B838" s="3" t="s">
        <v>1448</v>
      </c>
      <c r="C838" s="3" t="s">
        <v>1430</v>
      </c>
      <c r="D838" s="3" t="n">
        <v>34.1706</v>
      </c>
      <c r="E838" s="3" t="n">
        <v>-118.8376</v>
      </c>
    </row>
    <row r="839" customFormat="false" ht="15" hidden="false" customHeight="false" outlineLevel="0" collapsed="false">
      <c r="A839" s="21" t="s">
        <v>1449</v>
      </c>
      <c r="B839" s="3" t="s">
        <v>1450</v>
      </c>
      <c r="C839" s="3" t="s">
        <v>1430</v>
      </c>
      <c r="D839" s="3" t="n">
        <v>34.19</v>
      </c>
      <c r="E839" s="3" t="n">
        <v>-118.45</v>
      </c>
    </row>
    <row r="840" customFormat="false" ht="15" hidden="false" customHeight="false" outlineLevel="0" collapsed="false">
      <c r="A840" s="21" t="s">
        <v>1451</v>
      </c>
      <c r="B840" s="3" t="s">
        <v>1452</v>
      </c>
      <c r="C840" s="3" t="s">
        <v>1430</v>
      </c>
      <c r="D840" s="3" t="n">
        <v>34.1808</v>
      </c>
      <c r="E840" s="3" t="n">
        <v>-118.309</v>
      </c>
    </row>
    <row r="841" customFormat="false" ht="15" hidden="false" customHeight="false" outlineLevel="0" collapsed="false">
      <c r="A841" s="21" t="s">
        <v>1453</v>
      </c>
      <c r="B841" s="3" t="s">
        <v>1454</v>
      </c>
      <c r="C841" s="3" t="s">
        <v>1430</v>
      </c>
      <c r="D841" s="3" t="n">
        <v>34.17</v>
      </c>
      <c r="E841" s="3" t="n">
        <v>-118.38</v>
      </c>
    </row>
    <row r="842" customFormat="false" ht="15" hidden="false" customHeight="false" outlineLevel="0" collapsed="false">
      <c r="A842" s="21" t="s">
        <v>1455</v>
      </c>
      <c r="B842" s="3" t="s">
        <v>1456</v>
      </c>
      <c r="C842" s="3" t="s">
        <v>1430</v>
      </c>
      <c r="D842" s="3" t="n">
        <v>34.1064</v>
      </c>
      <c r="E842" s="3" t="n">
        <v>-117.5931</v>
      </c>
    </row>
    <row r="843" customFormat="false" ht="15" hidden="false" customHeight="false" outlineLevel="0" collapsed="false">
      <c r="A843" s="21" t="s">
        <v>1457</v>
      </c>
      <c r="B843" s="3" t="s">
        <v>1458</v>
      </c>
      <c r="C843" s="3" t="s">
        <v>1430</v>
      </c>
      <c r="D843" s="3" t="n">
        <v>34.0953</v>
      </c>
      <c r="E843" s="3" t="n">
        <v>-118.127</v>
      </c>
    </row>
    <row r="844" customFormat="false" ht="15" hidden="false" customHeight="false" outlineLevel="0" collapsed="false">
      <c r="A844" s="21" t="s">
        <v>1459</v>
      </c>
      <c r="B844" s="3" t="s">
        <v>1460</v>
      </c>
      <c r="C844" s="3" t="s">
        <v>1430</v>
      </c>
      <c r="D844" s="3" t="n">
        <v>32.7157</v>
      </c>
      <c r="E844" s="3" t="n">
        <v>-117.1611</v>
      </c>
    </row>
    <row r="845" customFormat="false" ht="15" hidden="false" customHeight="false" outlineLevel="0" collapsed="false">
      <c r="A845" s="21" t="s">
        <v>1461</v>
      </c>
      <c r="B845" s="3" t="s">
        <v>1460</v>
      </c>
      <c r="C845" s="3" t="s">
        <v>1430</v>
      </c>
      <c r="D845" s="3" t="n">
        <v>32.7157</v>
      </c>
      <c r="E845" s="3" t="n">
        <v>-117.1611</v>
      </c>
    </row>
    <row r="846" customFormat="false" ht="15" hidden="false" customHeight="false" outlineLevel="0" collapsed="false">
      <c r="A846" s="21" t="s">
        <v>1462</v>
      </c>
      <c r="B846" s="3" t="s">
        <v>1460</v>
      </c>
      <c r="C846" s="3" t="s">
        <v>1430</v>
      </c>
      <c r="D846" s="3" t="n">
        <v>32.7157</v>
      </c>
      <c r="E846" s="3" t="n">
        <v>-117.1611</v>
      </c>
    </row>
    <row r="847" customFormat="false" ht="15" hidden="false" customHeight="false" outlineLevel="0" collapsed="false">
      <c r="A847" s="21" t="s">
        <v>1463</v>
      </c>
      <c r="B847" s="3" t="s">
        <v>1464</v>
      </c>
      <c r="C847" s="3" t="s">
        <v>1430</v>
      </c>
      <c r="D847" s="3" t="n">
        <v>33.7206</v>
      </c>
      <c r="E847" s="3" t="n">
        <v>-116.2156</v>
      </c>
    </row>
    <row r="848" customFormat="false" ht="15" hidden="false" customHeight="false" outlineLevel="0" collapsed="false">
      <c r="A848" s="21" t="s">
        <v>1465</v>
      </c>
      <c r="B848" s="3" t="s">
        <v>1466</v>
      </c>
      <c r="C848" s="3" t="s">
        <v>1430</v>
      </c>
      <c r="D848" s="3" t="n">
        <v>34.1083</v>
      </c>
      <c r="E848" s="3" t="n">
        <v>-117.2898</v>
      </c>
    </row>
    <row r="849" customFormat="false" ht="15" hidden="false" customHeight="false" outlineLevel="0" collapsed="false">
      <c r="A849" s="21" t="s">
        <v>1467</v>
      </c>
      <c r="B849" s="3" t="s">
        <v>1466</v>
      </c>
      <c r="C849" s="3" t="s">
        <v>1430</v>
      </c>
      <c r="D849" s="3" t="n">
        <v>34.1083</v>
      </c>
      <c r="E849" s="3" t="n">
        <v>-117.2898</v>
      </c>
    </row>
    <row r="850" customFormat="false" ht="15" hidden="false" customHeight="false" outlineLevel="0" collapsed="false">
      <c r="A850" s="21" t="s">
        <v>1468</v>
      </c>
      <c r="B850" s="3" t="s">
        <v>1469</v>
      </c>
      <c r="C850" s="3" t="s">
        <v>1430</v>
      </c>
      <c r="D850" s="3" t="n">
        <v>33.9533</v>
      </c>
      <c r="E850" s="3" t="n">
        <v>-117.3962</v>
      </c>
    </row>
    <row r="851" customFormat="false" ht="15" hidden="false" customHeight="false" outlineLevel="0" collapsed="false">
      <c r="A851" s="21" t="s">
        <v>1470</v>
      </c>
      <c r="B851" s="3" t="s">
        <v>1471</v>
      </c>
      <c r="C851" s="3" t="s">
        <v>1430</v>
      </c>
      <c r="D851" s="3" t="n">
        <v>33.6839</v>
      </c>
      <c r="E851" s="3" t="n">
        <v>-117.7947</v>
      </c>
    </row>
    <row r="852" customFormat="false" ht="15" hidden="false" customHeight="false" outlineLevel="0" collapsed="false">
      <c r="A852" s="21" t="s">
        <v>1472</v>
      </c>
      <c r="B852" s="3" t="s">
        <v>1473</v>
      </c>
      <c r="C852" s="3" t="s">
        <v>1430</v>
      </c>
      <c r="D852" s="3" t="n">
        <v>33.7456</v>
      </c>
      <c r="E852" s="3" t="n">
        <v>-117.8678</v>
      </c>
    </row>
    <row r="853" customFormat="false" ht="15" hidden="false" customHeight="false" outlineLevel="0" collapsed="false">
      <c r="A853" s="21" t="s">
        <v>1474</v>
      </c>
      <c r="B853" s="3" t="s">
        <v>1475</v>
      </c>
      <c r="C853" s="3" t="s">
        <v>1430</v>
      </c>
      <c r="D853" s="3" t="n">
        <v>33.8353</v>
      </c>
      <c r="E853" s="3" t="n">
        <v>-117.9145</v>
      </c>
    </row>
    <row r="854" customFormat="false" ht="15" hidden="false" customHeight="false" outlineLevel="0" collapsed="false">
      <c r="A854" s="21" t="s">
        <v>1476</v>
      </c>
      <c r="B854" s="3" t="s">
        <v>1477</v>
      </c>
      <c r="C854" s="3" t="s">
        <v>1430</v>
      </c>
      <c r="D854" s="3" t="n">
        <v>34.27</v>
      </c>
      <c r="E854" s="3" t="n">
        <v>-119.23</v>
      </c>
    </row>
    <row r="855" customFormat="false" ht="15" hidden="false" customHeight="false" outlineLevel="0" collapsed="false">
      <c r="A855" s="21" t="s">
        <v>1478</v>
      </c>
      <c r="B855" s="3" t="s">
        <v>1479</v>
      </c>
      <c r="C855" s="3" t="s">
        <v>1430</v>
      </c>
      <c r="D855" s="3" t="n">
        <v>34.4208</v>
      </c>
      <c r="E855" s="3" t="n">
        <v>-119.6982</v>
      </c>
    </row>
    <row r="856" customFormat="false" ht="15" hidden="false" customHeight="false" outlineLevel="0" collapsed="false">
      <c r="A856" s="21" t="s">
        <v>1480</v>
      </c>
      <c r="B856" s="3" t="s">
        <v>1481</v>
      </c>
      <c r="C856" s="3" t="s">
        <v>1430</v>
      </c>
      <c r="D856" s="3" t="n">
        <v>35.3733</v>
      </c>
      <c r="E856" s="3" t="n">
        <v>-119.0187</v>
      </c>
    </row>
    <row r="857" customFormat="false" ht="15" hidden="false" customHeight="false" outlineLevel="0" collapsed="false">
      <c r="A857" s="21" t="s">
        <v>1482</v>
      </c>
      <c r="B857" s="3" t="s">
        <v>1481</v>
      </c>
      <c r="C857" s="3" t="s">
        <v>1430</v>
      </c>
      <c r="D857" s="3" t="n">
        <v>35.3733</v>
      </c>
      <c r="E857" s="3" t="n">
        <v>-119.0187</v>
      </c>
    </row>
    <row r="858" customFormat="false" ht="15" hidden="false" customHeight="false" outlineLevel="0" collapsed="false">
      <c r="A858" s="21" t="s">
        <v>1483</v>
      </c>
      <c r="B858" s="3" t="s">
        <v>1484</v>
      </c>
      <c r="C858" s="3" t="s">
        <v>1430</v>
      </c>
      <c r="D858" s="3" t="n">
        <v>35.2828</v>
      </c>
      <c r="E858" s="3" t="n">
        <v>-120.6596</v>
      </c>
    </row>
    <row r="859" customFormat="false" ht="15" hidden="false" customHeight="false" outlineLevel="0" collapsed="false">
      <c r="A859" s="21" t="s">
        <v>1485</v>
      </c>
      <c r="B859" s="3" t="s">
        <v>1486</v>
      </c>
      <c r="C859" s="3" t="s">
        <v>1430</v>
      </c>
      <c r="D859" s="3" t="n">
        <v>35.05</v>
      </c>
      <c r="E859" s="3" t="n">
        <v>-118.17</v>
      </c>
    </row>
    <row r="860" customFormat="false" ht="15" hidden="false" customHeight="false" outlineLevel="0" collapsed="false">
      <c r="A860" s="21" t="s">
        <v>1487</v>
      </c>
      <c r="B860" s="3" t="s">
        <v>1488</v>
      </c>
      <c r="C860" s="3" t="s">
        <v>1430</v>
      </c>
      <c r="D860" s="3" t="n">
        <v>36.7468</v>
      </c>
      <c r="E860" s="3" t="n">
        <v>-119.7726</v>
      </c>
    </row>
    <row r="861" customFormat="false" ht="15" hidden="false" customHeight="false" outlineLevel="0" collapsed="false">
      <c r="A861" s="21" t="s">
        <v>1489</v>
      </c>
      <c r="B861" s="3" t="s">
        <v>1488</v>
      </c>
      <c r="C861" s="3" t="s">
        <v>1430</v>
      </c>
      <c r="D861" s="3" t="n">
        <v>36.7468</v>
      </c>
      <c r="E861" s="3" t="n">
        <v>-119.7726</v>
      </c>
    </row>
    <row r="862" customFormat="false" ht="15" hidden="false" customHeight="false" outlineLevel="0" collapsed="false">
      <c r="A862" s="21" t="s">
        <v>1490</v>
      </c>
      <c r="B862" s="3" t="s">
        <v>1488</v>
      </c>
      <c r="C862" s="3" t="s">
        <v>1430</v>
      </c>
      <c r="D862" s="3" t="n">
        <v>36.7468</v>
      </c>
      <c r="E862" s="3" t="n">
        <v>-119.7726</v>
      </c>
    </row>
    <row r="863" customFormat="false" ht="15" hidden="false" customHeight="false" outlineLevel="0" collapsed="false">
      <c r="A863" s="21" t="s">
        <v>1491</v>
      </c>
      <c r="B863" s="3" t="s">
        <v>1492</v>
      </c>
      <c r="C863" s="3" t="s">
        <v>1430</v>
      </c>
      <c r="D863" s="3" t="n">
        <v>36.6777</v>
      </c>
      <c r="E863" s="3" t="n">
        <v>-121.6555</v>
      </c>
    </row>
    <row r="864" customFormat="false" ht="15" hidden="false" customHeight="false" outlineLevel="0" collapsed="false">
      <c r="A864" s="21" t="s">
        <v>1493</v>
      </c>
      <c r="B864" s="3" t="s">
        <v>1494</v>
      </c>
      <c r="C864" s="3" t="s">
        <v>1430</v>
      </c>
      <c r="D864" s="3" t="n">
        <v>37.7749</v>
      </c>
      <c r="E864" s="3" t="n">
        <v>-122.4194</v>
      </c>
    </row>
    <row r="865" customFormat="false" ht="15" hidden="false" customHeight="false" outlineLevel="0" collapsed="false">
      <c r="A865" s="21" t="s">
        <v>1495</v>
      </c>
      <c r="B865" s="3" t="s">
        <v>1494</v>
      </c>
      <c r="C865" s="3" t="s">
        <v>1430</v>
      </c>
      <c r="D865" s="3" t="n">
        <v>37.7749</v>
      </c>
      <c r="E865" s="3" t="n">
        <v>-122.4194</v>
      </c>
    </row>
    <row r="866" customFormat="false" ht="15" hidden="false" customHeight="false" outlineLevel="0" collapsed="false">
      <c r="A866" s="21" t="s">
        <v>1496</v>
      </c>
      <c r="B866" s="3" t="s">
        <v>1497</v>
      </c>
      <c r="C866" s="3" t="s">
        <v>1430</v>
      </c>
      <c r="D866" s="3" t="n">
        <v>38.5816</v>
      </c>
      <c r="E866" s="3" t="n">
        <v>-121.4944</v>
      </c>
    </row>
    <row r="867" customFormat="false" ht="15" hidden="false" customHeight="false" outlineLevel="0" collapsed="false">
      <c r="A867" s="21" t="s">
        <v>1498</v>
      </c>
      <c r="B867" s="3" t="s">
        <v>1499</v>
      </c>
      <c r="C867" s="3" t="s">
        <v>1430</v>
      </c>
      <c r="D867" s="3" t="n">
        <v>37.4419</v>
      </c>
      <c r="E867" s="3" t="n">
        <v>-122.143</v>
      </c>
    </row>
    <row r="868" customFormat="false" ht="15" hidden="false" customHeight="false" outlineLevel="0" collapsed="false">
      <c r="A868" s="21" t="s">
        <v>1500</v>
      </c>
      <c r="B868" s="3" t="s">
        <v>1501</v>
      </c>
      <c r="C868" s="3" t="s">
        <v>1430</v>
      </c>
      <c r="D868" s="3" t="n">
        <v>37.563</v>
      </c>
      <c r="E868" s="3" t="n">
        <v>-122.3255</v>
      </c>
    </row>
    <row r="869" customFormat="false" ht="15" hidden="false" customHeight="false" outlineLevel="0" collapsed="false">
      <c r="A869" s="21" t="s">
        <v>1502</v>
      </c>
      <c r="B869" s="3" t="s">
        <v>1503</v>
      </c>
      <c r="C869" s="3" t="s">
        <v>1430</v>
      </c>
      <c r="D869" s="3" t="n">
        <v>37.8044</v>
      </c>
      <c r="E869" s="3" t="n">
        <v>-122.2711</v>
      </c>
    </row>
    <row r="870" customFormat="false" ht="15" hidden="false" customHeight="false" outlineLevel="0" collapsed="false">
      <c r="A870" s="21" t="s">
        <v>1504</v>
      </c>
      <c r="B870" s="3" t="s">
        <v>1503</v>
      </c>
      <c r="C870" s="3" t="s">
        <v>1430</v>
      </c>
      <c r="D870" s="3" t="n">
        <v>37.8044</v>
      </c>
      <c r="E870" s="3" t="n">
        <v>-122.2711</v>
      </c>
    </row>
    <row r="871" customFormat="false" ht="15" hidden="false" customHeight="false" outlineLevel="0" collapsed="false">
      <c r="A871" s="21" t="s">
        <v>1505</v>
      </c>
      <c r="B871" s="3" t="s">
        <v>1506</v>
      </c>
      <c r="C871" s="3" t="s">
        <v>1430</v>
      </c>
      <c r="D871" s="3" t="n">
        <v>37.8716</v>
      </c>
      <c r="E871" s="3" t="n">
        <v>-122.2727</v>
      </c>
    </row>
    <row r="872" customFormat="false" ht="15" hidden="false" customHeight="false" outlineLevel="0" collapsed="false">
      <c r="A872" s="21" t="s">
        <v>1507</v>
      </c>
      <c r="B872" s="3" t="s">
        <v>413</v>
      </c>
      <c r="C872" s="3" t="s">
        <v>1430</v>
      </c>
      <c r="D872" s="3" t="n">
        <v>37.9358</v>
      </c>
      <c r="E872" s="3" t="n">
        <v>-122.3477</v>
      </c>
    </row>
    <row r="873" customFormat="false" ht="15" hidden="false" customHeight="false" outlineLevel="0" collapsed="false">
      <c r="A873" s="21" t="s">
        <v>1508</v>
      </c>
      <c r="B873" s="3" t="s">
        <v>1509</v>
      </c>
      <c r="C873" s="3" t="s">
        <v>1430</v>
      </c>
      <c r="D873" s="3" t="n">
        <v>37.9735</v>
      </c>
      <c r="E873" s="3" t="n">
        <v>-122.5311</v>
      </c>
    </row>
    <row r="874" customFormat="false" ht="15" hidden="false" customHeight="false" outlineLevel="0" collapsed="false">
      <c r="A874" s="21" t="s">
        <v>1510</v>
      </c>
      <c r="B874" s="3" t="s">
        <v>1511</v>
      </c>
      <c r="C874" s="3" t="s">
        <v>1430</v>
      </c>
      <c r="D874" s="3" t="n">
        <v>37.3382</v>
      </c>
      <c r="E874" s="3" t="n">
        <v>-121.8863</v>
      </c>
    </row>
    <row r="875" customFormat="false" ht="15" hidden="false" customHeight="false" outlineLevel="0" collapsed="false">
      <c r="A875" s="21" t="s">
        <v>1512</v>
      </c>
      <c r="B875" s="3" t="s">
        <v>1511</v>
      </c>
      <c r="C875" s="3" t="s">
        <v>1430</v>
      </c>
      <c r="D875" s="3" t="n">
        <v>37.3382</v>
      </c>
      <c r="E875" s="3" t="n">
        <v>-121.8863</v>
      </c>
    </row>
    <row r="876" customFormat="false" ht="15" hidden="false" customHeight="false" outlineLevel="0" collapsed="false">
      <c r="A876" s="21" t="s">
        <v>1513</v>
      </c>
      <c r="B876" s="3" t="s">
        <v>1514</v>
      </c>
      <c r="C876" s="3" t="s">
        <v>1430</v>
      </c>
      <c r="D876" s="3" t="n">
        <v>37.9577</v>
      </c>
      <c r="E876" s="3" t="n">
        <v>-121.2908</v>
      </c>
    </row>
    <row r="877" customFormat="false" ht="15" hidden="false" customHeight="false" outlineLevel="0" collapsed="false">
      <c r="A877" s="21" t="s">
        <v>1515</v>
      </c>
      <c r="B877" s="3" t="s">
        <v>1514</v>
      </c>
      <c r="C877" s="3" t="s">
        <v>1430</v>
      </c>
      <c r="D877" s="3" t="n">
        <v>37.9577</v>
      </c>
      <c r="E877" s="3" t="n">
        <v>-121.2908</v>
      </c>
    </row>
    <row r="878" customFormat="false" ht="15" hidden="false" customHeight="false" outlineLevel="0" collapsed="false">
      <c r="A878" s="21" t="s">
        <v>1516</v>
      </c>
      <c r="B878" s="3" t="s">
        <v>1517</v>
      </c>
      <c r="C878" s="3" t="s">
        <v>1430</v>
      </c>
      <c r="D878" s="3" t="n">
        <v>38.4404</v>
      </c>
      <c r="E878" s="3" t="n">
        <v>-122.7141</v>
      </c>
    </row>
    <row r="879" customFormat="false" ht="15" hidden="false" customHeight="false" outlineLevel="0" collapsed="false">
      <c r="A879" s="21" t="s">
        <v>1518</v>
      </c>
      <c r="B879" s="3" t="s">
        <v>1519</v>
      </c>
      <c r="C879" s="3" t="s">
        <v>1430</v>
      </c>
      <c r="D879" s="3" t="n">
        <v>40.8</v>
      </c>
      <c r="E879" s="3" t="n">
        <v>-124.16</v>
      </c>
    </row>
    <row r="880" customFormat="false" ht="15" hidden="false" customHeight="false" outlineLevel="0" collapsed="false">
      <c r="A880" s="21" t="s">
        <v>1520</v>
      </c>
      <c r="B880" s="3" t="s">
        <v>1497</v>
      </c>
      <c r="C880" s="3" t="s">
        <v>1430</v>
      </c>
      <c r="D880" s="3" t="n">
        <v>38.5816</v>
      </c>
      <c r="E880" s="3" t="n">
        <v>-121.4944</v>
      </c>
    </row>
    <row r="881" customFormat="false" ht="15" hidden="false" customHeight="false" outlineLevel="0" collapsed="false">
      <c r="A881" s="21" t="s">
        <v>1521</v>
      </c>
      <c r="B881" s="3" t="s">
        <v>1497</v>
      </c>
      <c r="C881" s="3" t="s">
        <v>1430</v>
      </c>
      <c r="D881" s="3" t="n">
        <v>38.5816</v>
      </c>
      <c r="E881" s="3" t="n">
        <v>-121.4944</v>
      </c>
    </row>
    <row r="882" customFormat="false" ht="15" hidden="false" customHeight="false" outlineLevel="0" collapsed="false">
      <c r="A882" s="21" t="s">
        <v>1522</v>
      </c>
      <c r="B882" s="3" t="s">
        <v>1497</v>
      </c>
      <c r="C882" s="3" t="s">
        <v>1430</v>
      </c>
      <c r="D882" s="3" t="n">
        <v>38.5816</v>
      </c>
      <c r="E882" s="3" t="n">
        <v>-121.4944</v>
      </c>
    </row>
    <row r="883" customFormat="false" ht="15" hidden="false" customHeight="false" outlineLevel="0" collapsed="false">
      <c r="A883" s="21" t="s">
        <v>1523</v>
      </c>
      <c r="B883" s="3" t="s">
        <v>1524</v>
      </c>
      <c r="C883" s="3" t="s">
        <v>1430</v>
      </c>
      <c r="D883" s="3" t="n">
        <v>39.15</v>
      </c>
      <c r="E883" s="3" t="n">
        <v>-121.59</v>
      </c>
    </row>
    <row r="884" customFormat="false" ht="15" hidden="false" customHeight="false" outlineLevel="0" collapsed="false">
      <c r="A884" s="21" t="s">
        <v>1525</v>
      </c>
      <c r="B884" s="3" t="s">
        <v>1526</v>
      </c>
      <c r="C884" s="3" t="s">
        <v>1430</v>
      </c>
      <c r="D884" s="3" t="n">
        <v>40.5865</v>
      </c>
      <c r="E884" s="3" t="n">
        <v>-122.3917</v>
      </c>
    </row>
    <row r="885" customFormat="false" ht="15" hidden="false" customHeight="false" outlineLevel="0" collapsed="false">
      <c r="A885" s="21" t="s">
        <v>1527</v>
      </c>
      <c r="B885" s="3" t="s">
        <v>1422</v>
      </c>
      <c r="C885" s="3" t="s">
        <v>1416</v>
      </c>
      <c r="D885" s="3" t="n">
        <v>39.5296</v>
      </c>
      <c r="E885" s="3" t="n">
        <v>-119.8138</v>
      </c>
    </row>
    <row r="886" customFormat="false" ht="15" hidden="false" customHeight="false" outlineLevel="0" collapsed="false">
      <c r="A886" s="21" t="s">
        <v>1528</v>
      </c>
      <c r="B886" s="3" t="s">
        <v>1529</v>
      </c>
      <c r="C886" s="3" t="s">
        <v>1530</v>
      </c>
      <c r="D886" s="3" t="n">
        <v>21.3069</v>
      </c>
      <c r="E886" s="3" t="n">
        <v>-157.8583</v>
      </c>
    </row>
    <row r="887" customFormat="false" ht="15" hidden="false" customHeight="false" outlineLevel="0" collapsed="false">
      <c r="A887" s="21" t="s">
        <v>1531</v>
      </c>
      <c r="B887" s="3" t="s">
        <v>1529</v>
      </c>
      <c r="C887" s="3" t="s">
        <v>1530</v>
      </c>
      <c r="D887" s="3" t="n">
        <v>21.3069</v>
      </c>
      <c r="E887" s="3" t="n">
        <v>-157.8583</v>
      </c>
    </row>
    <row r="888" customFormat="false" ht="15" hidden="false" customHeight="false" outlineLevel="0" collapsed="false">
      <c r="A888" s="21" t="s">
        <v>1532</v>
      </c>
      <c r="B888" s="3" t="s">
        <v>1533</v>
      </c>
      <c r="C888" s="3" t="s">
        <v>1534</v>
      </c>
      <c r="D888" s="3" t="n">
        <v>13.47</v>
      </c>
      <c r="E888" s="3" t="n">
        <v>144.79</v>
      </c>
    </row>
    <row r="889" customFormat="false" ht="15" hidden="false" customHeight="false" outlineLevel="0" collapsed="false">
      <c r="A889" s="21" t="s">
        <v>1535</v>
      </c>
      <c r="B889" s="3" t="s">
        <v>99</v>
      </c>
      <c r="C889" s="3" t="s">
        <v>1536</v>
      </c>
      <c r="D889" s="3" t="n">
        <v>45.5231</v>
      </c>
      <c r="E889" s="3" t="n">
        <v>-122.6765</v>
      </c>
    </row>
    <row r="890" customFormat="false" ht="15" hidden="false" customHeight="false" outlineLevel="0" collapsed="false">
      <c r="A890" s="21" t="s">
        <v>1537</v>
      </c>
      <c r="B890" s="3" t="s">
        <v>99</v>
      </c>
      <c r="C890" s="3" t="s">
        <v>1536</v>
      </c>
      <c r="D890" s="3" t="n">
        <v>45.5231</v>
      </c>
      <c r="E890" s="3" t="n">
        <v>-122.6765</v>
      </c>
    </row>
    <row r="891" customFormat="false" ht="15" hidden="false" customHeight="false" outlineLevel="0" collapsed="false">
      <c r="A891" s="21" t="s">
        <v>1538</v>
      </c>
      <c r="B891" s="3" t="s">
        <v>99</v>
      </c>
      <c r="C891" s="3" t="s">
        <v>1536</v>
      </c>
      <c r="D891" s="3" t="n">
        <v>45.5231</v>
      </c>
      <c r="E891" s="3" t="n">
        <v>-122.6765</v>
      </c>
    </row>
    <row r="892" customFormat="false" ht="15" hidden="false" customHeight="false" outlineLevel="0" collapsed="false">
      <c r="A892" s="21" t="s">
        <v>1539</v>
      </c>
      <c r="B892" s="3" t="s">
        <v>1540</v>
      </c>
      <c r="C892" s="3" t="s">
        <v>1536</v>
      </c>
      <c r="D892" s="3" t="n">
        <v>44.9429</v>
      </c>
      <c r="E892" s="3" t="n">
        <v>-123.0351</v>
      </c>
    </row>
    <row r="893" customFormat="false" ht="15" hidden="false" customHeight="false" outlineLevel="0" collapsed="false">
      <c r="A893" s="21" t="s">
        <v>1541</v>
      </c>
      <c r="B893" s="3" t="s">
        <v>1542</v>
      </c>
      <c r="C893" s="3" t="s">
        <v>1536</v>
      </c>
      <c r="D893" s="3" t="n">
        <v>44.0521</v>
      </c>
      <c r="E893" s="3" t="n">
        <v>-123.0868</v>
      </c>
    </row>
    <row r="894" customFormat="false" ht="15" hidden="false" customHeight="false" outlineLevel="0" collapsed="false">
      <c r="A894" s="21" t="s">
        <v>1543</v>
      </c>
      <c r="B894" s="3" t="s">
        <v>1544</v>
      </c>
      <c r="C894" s="3" t="s">
        <v>1536</v>
      </c>
      <c r="D894" s="3" t="n">
        <v>42.3265</v>
      </c>
      <c r="E894" s="3" t="n">
        <v>-122.8756</v>
      </c>
    </row>
    <row r="895" customFormat="false" ht="15" hidden="false" customHeight="false" outlineLevel="0" collapsed="false">
      <c r="A895" s="21" t="s">
        <v>1545</v>
      </c>
      <c r="B895" s="3" t="s">
        <v>1546</v>
      </c>
      <c r="C895" s="3" t="s">
        <v>1536</v>
      </c>
      <c r="D895" s="3" t="n">
        <v>42.22</v>
      </c>
      <c r="E895" s="3" t="n">
        <v>-121.78</v>
      </c>
    </row>
    <row r="896" customFormat="false" ht="15" hidden="false" customHeight="false" outlineLevel="0" collapsed="false">
      <c r="A896" s="21" t="s">
        <v>1547</v>
      </c>
      <c r="B896" s="3" t="s">
        <v>1548</v>
      </c>
      <c r="C896" s="3" t="s">
        <v>1536</v>
      </c>
      <c r="D896" s="3" t="n">
        <v>44.0582</v>
      </c>
      <c r="E896" s="3" t="n">
        <v>-121.3153</v>
      </c>
    </row>
    <row r="897" customFormat="false" ht="15" hidden="false" customHeight="false" outlineLevel="0" collapsed="false">
      <c r="A897" s="21" t="s">
        <v>1549</v>
      </c>
      <c r="B897" s="3" t="s">
        <v>1550</v>
      </c>
      <c r="C897" s="3" t="s">
        <v>1536</v>
      </c>
      <c r="D897" s="3" t="n">
        <v>45.67</v>
      </c>
      <c r="E897" s="3" t="n">
        <v>-118.79</v>
      </c>
    </row>
    <row r="898" customFormat="false" ht="15" hidden="false" customHeight="false" outlineLevel="0" collapsed="false">
      <c r="A898" s="21" t="s">
        <v>1551</v>
      </c>
      <c r="B898" s="3" t="s">
        <v>1346</v>
      </c>
      <c r="C898" s="3" t="s">
        <v>1338</v>
      </c>
      <c r="D898" s="3" t="n">
        <v>43.61</v>
      </c>
      <c r="E898" s="3" t="n">
        <v>-116.2</v>
      </c>
    </row>
    <row r="899" customFormat="false" ht="15" hidden="false" customHeight="false" outlineLevel="0" collapsed="false">
      <c r="A899" s="21" t="s">
        <v>1552</v>
      </c>
      <c r="B899" s="3" t="s">
        <v>1553</v>
      </c>
      <c r="C899" s="3" t="s">
        <v>1350</v>
      </c>
      <c r="D899" s="3" t="n">
        <v>47.6062</v>
      </c>
      <c r="E899" s="3" t="n">
        <v>-122.3321</v>
      </c>
    </row>
    <row r="900" customFormat="false" ht="15" hidden="false" customHeight="false" outlineLevel="0" collapsed="false">
      <c r="A900" s="21" t="s">
        <v>1554</v>
      </c>
      <c r="B900" s="3" t="s">
        <v>1553</v>
      </c>
      <c r="C900" s="3" t="s">
        <v>1350</v>
      </c>
      <c r="D900" s="3" t="n">
        <v>47.6062</v>
      </c>
      <c r="E900" s="3" t="n">
        <v>-122.3321</v>
      </c>
    </row>
    <row r="901" customFormat="false" ht="15" hidden="false" customHeight="false" outlineLevel="0" collapsed="false">
      <c r="A901" s="21" t="s">
        <v>1555</v>
      </c>
      <c r="B901" s="3" t="s">
        <v>1556</v>
      </c>
      <c r="C901" s="3" t="s">
        <v>1350</v>
      </c>
      <c r="D901" s="3" t="n">
        <v>47.979</v>
      </c>
      <c r="E901" s="3" t="n">
        <v>-122.2021</v>
      </c>
    </row>
    <row r="902" customFormat="false" ht="15" hidden="false" customHeight="false" outlineLevel="0" collapsed="false">
      <c r="A902" s="21" t="s">
        <v>1557</v>
      </c>
      <c r="B902" s="3" t="s">
        <v>1558</v>
      </c>
      <c r="C902" s="3" t="s">
        <v>1350</v>
      </c>
      <c r="D902" s="3" t="n">
        <v>47.2529</v>
      </c>
      <c r="E902" s="3" t="n">
        <v>-122.4443</v>
      </c>
    </row>
    <row r="903" customFormat="false" ht="15" hidden="false" customHeight="false" outlineLevel="0" collapsed="false">
      <c r="A903" s="21" t="s">
        <v>1559</v>
      </c>
      <c r="B903" s="3" t="s">
        <v>1558</v>
      </c>
      <c r="C903" s="3" t="s">
        <v>1350</v>
      </c>
      <c r="D903" s="3" t="n">
        <v>47.2529</v>
      </c>
      <c r="E903" s="3" t="n">
        <v>-122.4443</v>
      </c>
    </row>
    <row r="904" customFormat="false" ht="15" hidden="false" customHeight="false" outlineLevel="0" collapsed="false">
      <c r="A904" s="21" t="s">
        <v>1560</v>
      </c>
      <c r="B904" s="3" t="s">
        <v>1561</v>
      </c>
      <c r="C904" s="3" t="s">
        <v>1350</v>
      </c>
      <c r="D904" s="3" t="n">
        <v>47.0379</v>
      </c>
      <c r="E904" s="3" t="n">
        <v>-122.9007</v>
      </c>
    </row>
    <row r="905" customFormat="false" ht="15" hidden="false" customHeight="false" outlineLevel="0" collapsed="false">
      <c r="A905" s="21" t="s">
        <v>1562</v>
      </c>
      <c r="B905" s="3" t="s">
        <v>99</v>
      </c>
      <c r="C905" s="3" t="s">
        <v>1536</v>
      </c>
      <c r="D905" s="3" t="n">
        <v>45.5231</v>
      </c>
      <c r="E905" s="3" t="n">
        <v>-122.6765</v>
      </c>
    </row>
    <row r="906" customFormat="false" ht="15" hidden="false" customHeight="false" outlineLevel="0" collapsed="false">
      <c r="A906" s="21" t="s">
        <v>1563</v>
      </c>
      <c r="B906" s="3" t="s">
        <v>1564</v>
      </c>
      <c r="C906" s="3" t="s">
        <v>1350</v>
      </c>
      <c r="D906" s="3" t="n">
        <v>47.42</v>
      </c>
      <c r="E906" s="3" t="n">
        <v>-120.31</v>
      </c>
    </row>
    <row r="907" customFormat="false" ht="15" hidden="false" customHeight="false" outlineLevel="0" collapsed="false">
      <c r="A907" s="21" t="s">
        <v>1565</v>
      </c>
      <c r="B907" s="3" t="s">
        <v>1566</v>
      </c>
      <c r="C907" s="3" t="s">
        <v>1350</v>
      </c>
      <c r="D907" s="3" t="n">
        <v>46.6021</v>
      </c>
      <c r="E907" s="3" t="n">
        <v>-120.5059</v>
      </c>
    </row>
    <row r="908" customFormat="false" ht="15" hidden="false" customHeight="false" outlineLevel="0" collapsed="false">
      <c r="A908" s="21" t="s">
        <v>1567</v>
      </c>
      <c r="B908" s="3" t="s">
        <v>1349</v>
      </c>
      <c r="C908" s="3" t="s">
        <v>1350</v>
      </c>
      <c r="D908" s="3" t="n">
        <v>47.6588</v>
      </c>
      <c r="E908" s="3" t="n">
        <v>-117.426</v>
      </c>
    </row>
    <row r="909" customFormat="false" ht="15" hidden="false" customHeight="false" outlineLevel="0" collapsed="false">
      <c r="A909" s="21" t="s">
        <v>1568</v>
      </c>
      <c r="B909" s="3" t="s">
        <v>1349</v>
      </c>
      <c r="C909" s="3" t="s">
        <v>1350</v>
      </c>
      <c r="D909" s="3" t="n">
        <v>47.6588</v>
      </c>
      <c r="E909" s="3" t="n">
        <v>-117.426</v>
      </c>
    </row>
    <row r="910" customFormat="false" ht="15" hidden="false" customHeight="false" outlineLevel="0" collapsed="false">
      <c r="A910" s="21" t="s">
        <v>1569</v>
      </c>
      <c r="B910" s="3" t="s">
        <v>1349</v>
      </c>
      <c r="C910" s="3" t="s">
        <v>1350</v>
      </c>
      <c r="D910" s="3" t="n">
        <v>47.6588</v>
      </c>
      <c r="E910" s="3" t="n">
        <v>-117.426</v>
      </c>
    </row>
    <row r="911" customFormat="false" ht="15" hidden="false" customHeight="false" outlineLevel="0" collapsed="false">
      <c r="A911" s="21" t="s">
        <v>1570</v>
      </c>
      <c r="B911" s="3" t="s">
        <v>1571</v>
      </c>
      <c r="C911" s="3" t="s">
        <v>1350</v>
      </c>
      <c r="D911" s="3" t="n">
        <v>46.2396</v>
      </c>
      <c r="E911" s="3" t="n">
        <v>-119.1006</v>
      </c>
    </row>
    <row r="912" customFormat="false" ht="15" hidden="false" customHeight="false" outlineLevel="0" collapsed="false">
      <c r="A912" s="21" t="s">
        <v>1572</v>
      </c>
      <c r="B912" s="3" t="s">
        <v>1344</v>
      </c>
      <c r="C912" s="3" t="s">
        <v>1338</v>
      </c>
      <c r="D912" s="3" t="n">
        <v>46.42</v>
      </c>
      <c r="E912" s="3" t="n">
        <v>-117.02</v>
      </c>
    </row>
    <row r="913" customFormat="false" ht="15" hidden="false" customHeight="false" outlineLevel="0" collapsed="false">
      <c r="A913" s="21" t="s">
        <v>1573</v>
      </c>
      <c r="B913" s="3" t="s">
        <v>1574</v>
      </c>
      <c r="C913" s="3" t="s">
        <v>1575</v>
      </c>
      <c r="D913" s="3" t="n">
        <v>61.2181</v>
      </c>
      <c r="E913" s="3" t="n">
        <v>-149.9003</v>
      </c>
    </row>
    <row r="914" customFormat="false" ht="15" hidden="false" customHeight="false" outlineLevel="0" collapsed="false">
      <c r="A914" s="21" t="s">
        <v>1576</v>
      </c>
      <c r="B914" s="3" t="s">
        <v>1574</v>
      </c>
      <c r="C914" s="3" t="s">
        <v>1575</v>
      </c>
      <c r="D914" s="3" t="n">
        <v>61.2181</v>
      </c>
      <c r="E914" s="3" t="n">
        <v>-149.9003</v>
      </c>
    </row>
    <row r="915" customFormat="false" ht="15" hidden="false" customHeight="false" outlineLevel="0" collapsed="false">
      <c r="A915" s="21" t="s">
        <v>1577</v>
      </c>
      <c r="B915" s="3" t="s">
        <v>1578</v>
      </c>
      <c r="C915" s="3" t="s">
        <v>1575</v>
      </c>
      <c r="D915" s="3" t="n">
        <v>64.84</v>
      </c>
      <c r="E915" s="3" t="n">
        <v>-147.72</v>
      </c>
    </row>
    <row r="916" customFormat="false" ht="15" hidden="false" customHeight="false" outlineLevel="0" collapsed="false">
      <c r="A916" s="21" t="s">
        <v>1579</v>
      </c>
      <c r="B916" s="3" t="s">
        <v>1580</v>
      </c>
      <c r="C916" s="3" t="s">
        <v>1575</v>
      </c>
      <c r="D916" s="3" t="n">
        <v>58.3</v>
      </c>
      <c r="E916" s="3" t="n">
        <v>-134.42</v>
      </c>
    </row>
    <row r="917" customFormat="false" ht="15" hidden="false" customHeight="false" outlineLevel="0" collapsed="false">
      <c r="A917" s="21" t="s">
        <v>1581</v>
      </c>
      <c r="B917" s="3" t="s">
        <v>1582</v>
      </c>
      <c r="C917" s="3" t="s">
        <v>1575</v>
      </c>
      <c r="D917" s="3" t="n">
        <v>55.34</v>
      </c>
      <c r="E917" s="3" t="n">
        <v>-131.65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1"/>
    <col collapsed="false" customWidth="true" hidden="false" outlineLevel="0" max="4" min="3" style="0" width="20"/>
    <col collapsed="false" customWidth="true" hidden="false" outlineLevel="0" max="5" min="5" style="0" width="11"/>
    <col collapsed="false" customWidth="true" hidden="false" outlineLevel="0" max="7" min="6" style="0" width="10"/>
    <col collapsed="false" customWidth="true" hidden="false" outlineLevel="0" max="9" min="8" style="0" width="9"/>
    <col collapsed="false" customWidth="true" hidden="false" outlineLevel="0" max="10" min="10" style="0" width="13"/>
  </cols>
  <sheetData>
    <row r="1" customFormat="false" ht="15" hidden="false" customHeight="false" outlineLevel="0" collapsed="false">
      <c r="A1" s="22" t="s">
        <v>1583</v>
      </c>
    </row>
    <row r="2" customFormat="false" ht="26.85" hidden="false" customHeight="false" outlineLevel="0" collapsed="false">
      <c r="A2" s="23" t="s">
        <v>1584</v>
      </c>
      <c r="B2" s="23" t="s">
        <v>1585</v>
      </c>
      <c r="C2" s="23" t="s">
        <v>12</v>
      </c>
      <c r="D2" s="23" t="s">
        <v>13</v>
      </c>
      <c r="E2" s="23" t="s">
        <v>1586</v>
      </c>
      <c r="F2" s="23" t="s">
        <v>1587</v>
      </c>
      <c r="G2" s="23" t="s">
        <v>1588</v>
      </c>
      <c r="H2" s="23" t="s">
        <v>1589</v>
      </c>
      <c r="I2" s="23" t="s">
        <v>1590</v>
      </c>
      <c r="J2" s="23" t="s">
        <v>1591</v>
      </c>
    </row>
    <row r="3" customFormat="false" ht="15" hidden="false" customHeight="false" outlineLevel="0" collapsed="false">
      <c r="A3" s="24"/>
      <c r="B3" s="24"/>
      <c r="C3" s="25" t="str">
        <f aca="false">IF($A3="","",IFERROR(INDEX('ZIP Database'!$B:$B,MATCH(LEFT(TEXT($A3,"00000"),3),'ZIP Database'!$A:$A,0))&amp;", "&amp;INDEX('ZIP Database'!$C:$C,MATCH(LEFT(TEXT($A3,"00000"),3),'ZIP Database'!$A:$A,0)),"not found"))</f>
        <v/>
      </c>
      <c r="D3" s="25" t="str">
        <f aca="false">IF($B3="","",IFERROR(INDEX('ZIP Database'!$B:$B,MATCH(LEFT(TEXT($B3,"00000"),3),'ZIP Database'!$A:$A,0))&amp;", "&amp;INDEX('ZIP Database'!$C:$C,MATCH(LEFT(TEXT($B3,"00000"),3),'ZIP Database'!$A:$A,0)),"not found"))</f>
        <v/>
      </c>
      <c r="E3" s="26" t="str">
        <f aca="false">IF(OR($A3="",$B3=""),"",IFERROR(ROUND(3958.8*ACOS(MIN(1,SIN(RADIANS(INDEX('ZIP Database'!$D:$D,MATCH(LEFT(TEXT($A3,"00000"),3),'ZIP Database'!$A:$A,0))))*SIN(RADIANS(INDEX('ZIP Database'!$D:$D,MATCH(LEFT(TEXT($B3,"00000"),3),'ZIP Database'!$A:$A,0))))+COS(RADIANS(INDEX('ZIP Database'!$D:$D,MATCH(LEFT(TEXT($A3,"00000"),3),'ZIP Database'!$A:$A,0))))*COS(RADIANS(INDEX('ZIP Database'!$D:$D,MATCH(LEFT(TEXT($B3,"00000"),3),'ZIP Database'!$A:$A,0))))*COS(RADIANS(INDEX('ZIP Database'!$E:$E,MATCH(LEFT(TEXT($B3,"00000"),3),'ZIP Database'!$A:$A,0))-INDEX('ZIP Database'!$E:$E,MATCH(LEFT(TEXT($A3,"00000"),3),'ZIP Database'!$A:$A,0)))))),1),"not found"))</f>
        <v/>
      </c>
      <c r="F3" s="27" t="str">
        <f aca="false">IF(OR($E3="",$E3="not found"),"",ROUND($E3*'Quote Calculator'!$C$9,0))</f>
        <v/>
      </c>
      <c r="G3" s="28"/>
      <c r="H3" s="29"/>
      <c r="I3" s="28"/>
      <c r="J3" s="30" t="str">
        <f aca="false">IF($F3="","",MAX($F3*IF($G3="",'Quote Calculator'!$C$6,$G3)*(1+IF($H3="",'Quote Calculator'!$C$7,$H3)),IF($I3="",'Quote Calculator'!$C$8,$I3)))</f>
        <v/>
      </c>
    </row>
    <row r="4" customFormat="false" ht="15" hidden="false" customHeight="false" outlineLevel="0" collapsed="false">
      <c r="A4" s="24"/>
      <c r="B4" s="24"/>
      <c r="C4" s="25" t="str">
        <f aca="false">IF($A4="","",IFERROR(INDEX('ZIP Database'!$B:$B,MATCH(LEFT(TEXT($A4,"00000"),3),'ZIP Database'!$A:$A,0))&amp;", "&amp;INDEX('ZIP Database'!$C:$C,MATCH(LEFT(TEXT($A4,"00000"),3),'ZIP Database'!$A:$A,0)),"not found"))</f>
        <v/>
      </c>
      <c r="D4" s="25" t="str">
        <f aca="false">IF($B4="","",IFERROR(INDEX('ZIP Database'!$B:$B,MATCH(LEFT(TEXT($B4,"00000"),3),'ZIP Database'!$A:$A,0))&amp;", "&amp;INDEX('ZIP Database'!$C:$C,MATCH(LEFT(TEXT($B4,"00000"),3),'ZIP Database'!$A:$A,0)),"not found"))</f>
        <v/>
      </c>
      <c r="E4" s="26" t="str">
        <f aca="false">IF(OR($A4="",$B4=""),"",IFERROR(ROUND(3958.8*ACOS(MIN(1,SIN(RADIANS(INDEX('ZIP Database'!$D:$D,MATCH(LEFT(TEXT($A4,"00000"),3),'ZIP Database'!$A:$A,0))))*SIN(RADIANS(INDEX('ZIP Database'!$D:$D,MATCH(LEFT(TEXT($B4,"00000"),3),'ZIP Database'!$A:$A,0))))+COS(RADIANS(INDEX('ZIP Database'!$D:$D,MATCH(LEFT(TEXT($A4,"00000"),3),'ZIP Database'!$A:$A,0))))*COS(RADIANS(INDEX('ZIP Database'!$D:$D,MATCH(LEFT(TEXT($B4,"00000"),3),'ZIP Database'!$A:$A,0))))*COS(RADIANS(INDEX('ZIP Database'!$E:$E,MATCH(LEFT(TEXT($B4,"00000"),3),'ZIP Database'!$A:$A,0))-INDEX('ZIP Database'!$E:$E,MATCH(LEFT(TEXT($A4,"00000"),3),'ZIP Database'!$A:$A,0)))))),1),"not found"))</f>
        <v/>
      </c>
      <c r="F4" s="27" t="str">
        <f aca="false">IF(OR($E4="",$E4="not found"),"",ROUND($E4*'Quote Calculator'!$C$9,0))</f>
        <v/>
      </c>
      <c r="G4" s="28"/>
      <c r="H4" s="29"/>
      <c r="I4" s="28"/>
      <c r="J4" s="30" t="str">
        <f aca="false">IF($F4="","",MAX($F4*IF($G4="",'Quote Calculator'!$C$6,$G4)*(1+IF($H4="",'Quote Calculator'!$C$7,$H4)),IF($I4="",'Quote Calculator'!$C$8,$I4)))</f>
        <v/>
      </c>
    </row>
    <row r="5" customFormat="false" ht="15" hidden="false" customHeight="false" outlineLevel="0" collapsed="false">
      <c r="A5" s="24"/>
      <c r="B5" s="24"/>
      <c r="C5" s="25" t="str">
        <f aca="false">IF($A5="","",IFERROR(INDEX('ZIP Database'!$B:$B,MATCH(LEFT(TEXT($A5,"00000"),3),'ZIP Database'!$A:$A,0))&amp;", "&amp;INDEX('ZIP Database'!$C:$C,MATCH(LEFT(TEXT($A5,"00000"),3),'ZIP Database'!$A:$A,0)),"not found"))</f>
        <v/>
      </c>
      <c r="D5" s="25" t="str">
        <f aca="false">IF($B5="","",IFERROR(INDEX('ZIP Database'!$B:$B,MATCH(LEFT(TEXT($B5,"00000"),3),'ZIP Database'!$A:$A,0))&amp;", "&amp;INDEX('ZIP Database'!$C:$C,MATCH(LEFT(TEXT($B5,"00000"),3),'ZIP Database'!$A:$A,0)),"not found"))</f>
        <v/>
      </c>
      <c r="E5" s="26" t="str">
        <f aca="false">IF(OR($A5="",$B5=""),"",IFERROR(ROUND(3958.8*ACOS(MIN(1,SIN(RADIANS(INDEX('ZIP Database'!$D:$D,MATCH(LEFT(TEXT($A5,"00000"),3),'ZIP Database'!$A:$A,0))))*SIN(RADIANS(INDEX('ZIP Database'!$D:$D,MATCH(LEFT(TEXT($B5,"00000"),3),'ZIP Database'!$A:$A,0))))+COS(RADIANS(INDEX('ZIP Database'!$D:$D,MATCH(LEFT(TEXT($A5,"00000"),3),'ZIP Database'!$A:$A,0))))*COS(RADIANS(INDEX('ZIP Database'!$D:$D,MATCH(LEFT(TEXT($B5,"00000"),3),'ZIP Database'!$A:$A,0))))*COS(RADIANS(INDEX('ZIP Database'!$E:$E,MATCH(LEFT(TEXT($B5,"00000"),3),'ZIP Database'!$A:$A,0))-INDEX('ZIP Database'!$E:$E,MATCH(LEFT(TEXT($A5,"00000"),3),'ZIP Database'!$A:$A,0)))))),1),"not found"))</f>
        <v/>
      </c>
      <c r="F5" s="27" t="str">
        <f aca="false">IF(OR($E5="",$E5="not found"),"",ROUND($E5*'Quote Calculator'!$C$9,0))</f>
        <v/>
      </c>
      <c r="G5" s="28"/>
      <c r="H5" s="29"/>
      <c r="I5" s="28"/>
      <c r="J5" s="30" t="str">
        <f aca="false">IF($F5="","",MAX($F5*IF($G5="",'Quote Calculator'!$C$6,$G5)*(1+IF($H5="",'Quote Calculator'!$C$7,$H5)),IF($I5="",'Quote Calculator'!$C$8,$I5)))</f>
        <v/>
      </c>
    </row>
    <row r="6" customFormat="false" ht="15" hidden="false" customHeight="false" outlineLevel="0" collapsed="false">
      <c r="A6" s="24"/>
      <c r="B6" s="24"/>
      <c r="C6" s="25" t="str">
        <f aca="false">IF($A6="","",IFERROR(INDEX('ZIP Database'!$B:$B,MATCH(LEFT(TEXT($A6,"00000"),3),'ZIP Database'!$A:$A,0))&amp;", "&amp;INDEX('ZIP Database'!$C:$C,MATCH(LEFT(TEXT($A6,"00000"),3),'ZIP Database'!$A:$A,0)),"not found"))</f>
        <v/>
      </c>
      <c r="D6" s="25" t="str">
        <f aca="false">IF($B6="","",IFERROR(INDEX('ZIP Database'!$B:$B,MATCH(LEFT(TEXT($B6,"00000"),3),'ZIP Database'!$A:$A,0))&amp;", "&amp;INDEX('ZIP Database'!$C:$C,MATCH(LEFT(TEXT($B6,"00000"),3),'ZIP Database'!$A:$A,0)),"not found"))</f>
        <v/>
      </c>
      <c r="E6" s="26" t="str">
        <f aca="false">IF(OR($A6="",$B6=""),"",IFERROR(ROUND(3958.8*ACOS(MIN(1,SIN(RADIANS(INDEX('ZIP Database'!$D:$D,MATCH(LEFT(TEXT($A6,"00000"),3),'ZIP Database'!$A:$A,0))))*SIN(RADIANS(INDEX('ZIP Database'!$D:$D,MATCH(LEFT(TEXT($B6,"00000"),3),'ZIP Database'!$A:$A,0))))+COS(RADIANS(INDEX('ZIP Database'!$D:$D,MATCH(LEFT(TEXT($A6,"00000"),3),'ZIP Database'!$A:$A,0))))*COS(RADIANS(INDEX('ZIP Database'!$D:$D,MATCH(LEFT(TEXT($B6,"00000"),3),'ZIP Database'!$A:$A,0))))*COS(RADIANS(INDEX('ZIP Database'!$E:$E,MATCH(LEFT(TEXT($B6,"00000"),3),'ZIP Database'!$A:$A,0))-INDEX('ZIP Database'!$E:$E,MATCH(LEFT(TEXT($A6,"00000"),3),'ZIP Database'!$A:$A,0)))))),1),"not found"))</f>
        <v/>
      </c>
      <c r="F6" s="27" t="str">
        <f aca="false">IF(OR($E6="",$E6="not found"),"",ROUND($E6*'Quote Calculator'!$C$9,0))</f>
        <v/>
      </c>
      <c r="G6" s="28"/>
      <c r="H6" s="29"/>
      <c r="I6" s="28"/>
      <c r="J6" s="30" t="str">
        <f aca="false">IF($F6="","",MAX($F6*IF($G6="",'Quote Calculator'!$C$6,$G6)*(1+IF($H6="",'Quote Calculator'!$C$7,$H6)),IF($I6="",'Quote Calculator'!$C$8,$I6)))</f>
        <v/>
      </c>
    </row>
    <row r="7" customFormat="false" ht="15" hidden="false" customHeight="false" outlineLevel="0" collapsed="false">
      <c r="A7" s="24"/>
      <c r="B7" s="24"/>
      <c r="C7" s="25" t="str">
        <f aca="false">IF($A7="","",IFERROR(INDEX('ZIP Database'!$B:$B,MATCH(LEFT(TEXT($A7,"00000"),3),'ZIP Database'!$A:$A,0))&amp;", "&amp;INDEX('ZIP Database'!$C:$C,MATCH(LEFT(TEXT($A7,"00000"),3),'ZIP Database'!$A:$A,0)),"not found"))</f>
        <v/>
      </c>
      <c r="D7" s="25" t="str">
        <f aca="false">IF($B7="","",IFERROR(INDEX('ZIP Database'!$B:$B,MATCH(LEFT(TEXT($B7,"00000"),3),'ZIP Database'!$A:$A,0))&amp;", "&amp;INDEX('ZIP Database'!$C:$C,MATCH(LEFT(TEXT($B7,"00000"),3),'ZIP Database'!$A:$A,0)),"not found"))</f>
        <v/>
      </c>
      <c r="E7" s="26" t="str">
        <f aca="false">IF(OR($A7="",$B7=""),"",IFERROR(ROUND(3958.8*ACOS(MIN(1,SIN(RADIANS(INDEX('ZIP Database'!$D:$D,MATCH(LEFT(TEXT($A7,"00000"),3),'ZIP Database'!$A:$A,0))))*SIN(RADIANS(INDEX('ZIP Database'!$D:$D,MATCH(LEFT(TEXT($B7,"00000"),3),'ZIP Database'!$A:$A,0))))+COS(RADIANS(INDEX('ZIP Database'!$D:$D,MATCH(LEFT(TEXT($A7,"00000"),3),'ZIP Database'!$A:$A,0))))*COS(RADIANS(INDEX('ZIP Database'!$D:$D,MATCH(LEFT(TEXT($B7,"00000"),3),'ZIP Database'!$A:$A,0))))*COS(RADIANS(INDEX('ZIP Database'!$E:$E,MATCH(LEFT(TEXT($B7,"00000"),3),'ZIP Database'!$A:$A,0))-INDEX('ZIP Database'!$E:$E,MATCH(LEFT(TEXT($A7,"00000"),3),'ZIP Database'!$A:$A,0)))))),1),"not found"))</f>
        <v/>
      </c>
      <c r="F7" s="27" t="str">
        <f aca="false">IF(OR($E7="",$E7="not found"),"",ROUND($E7*'Quote Calculator'!$C$9,0))</f>
        <v/>
      </c>
      <c r="G7" s="28"/>
      <c r="H7" s="29"/>
      <c r="I7" s="28"/>
      <c r="J7" s="30" t="str">
        <f aca="false">IF($F7="","",MAX($F7*IF($G7="",'Quote Calculator'!$C$6,$G7)*(1+IF($H7="",'Quote Calculator'!$C$7,$H7)),IF($I7="",'Quote Calculator'!$C$8,$I7)))</f>
        <v/>
      </c>
    </row>
    <row r="8" customFormat="false" ht="15" hidden="false" customHeight="false" outlineLevel="0" collapsed="false">
      <c r="A8" s="24"/>
      <c r="B8" s="24"/>
      <c r="C8" s="25" t="str">
        <f aca="false">IF($A8="","",IFERROR(INDEX('ZIP Database'!$B:$B,MATCH(LEFT(TEXT($A8,"00000"),3),'ZIP Database'!$A:$A,0))&amp;", "&amp;INDEX('ZIP Database'!$C:$C,MATCH(LEFT(TEXT($A8,"00000"),3),'ZIP Database'!$A:$A,0)),"not found"))</f>
        <v/>
      </c>
      <c r="D8" s="25" t="str">
        <f aca="false">IF($B8="","",IFERROR(INDEX('ZIP Database'!$B:$B,MATCH(LEFT(TEXT($B8,"00000"),3),'ZIP Database'!$A:$A,0))&amp;", "&amp;INDEX('ZIP Database'!$C:$C,MATCH(LEFT(TEXT($B8,"00000"),3),'ZIP Database'!$A:$A,0)),"not found"))</f>
        <v/>
      </c>
      <c r="E8" s="26" t="str">
        <f aca="false">IF(OR($A8="",$B8=""),"",IFERROR(ROUND(3958.8*ACOS(MIN(1,SIN(RADIANS(INDEX('ZIP Database'!$D:$D,MATCH(LEFT(TEXT($A8,"00000"),3),'ZIP Database'!$A:$A,0))))*SIN(RADIANS(INDEX('ZIP Database'!$D:$D,MATCH(LEFT(TEXT($B8,"00000"),3),'ZIP Database'!$A:$A,0))))+COS(RADIANS(INDEX('ZIP Database'!$D:$D,MATCH(LEFT(TEXT($A8,"00000"),3),'ZIP Database'!$A:$A,0))))*COS(RADIANS(INDEX('ZIP Database'!$D:$D,MATCH(LEFT(TEXT($B8,"00000"),3),'ZIP Database'!$A:$A,0))))*COS(RADIANS(INDEX('ZIP Database'!$E:$E,MATCH(LEFT(TEXT($B8,"00000"),3),'ZIP Database'!$A:$A,0))-INDEX('ZIP Database'!$E:$E,MATCH(LEFT(TEXT($A8,"00000"),3),'ZIP Database'!$A:$A,0)))))),1),"not found"))</f>
        <v/>
      </c>
      <c r="F8" s="27" t="str">
        <f aca="false">IF(OR($E8="",$E8="not found"),"",ROUND($E8*'Quote Calculator'!$C$9,0))</f>
        <v/>
      </c>
      <c r="G8" s="28"/>
      <c r="H8" s="29"/>
      <c r="I8" s="28"/>
      <c r="J8" s="30" t="str">
        <f aca="false">IF($F8="","",MAX($F8*IF($G8="",'Quote Calculator'!$C$6,$G8)*(1+IF($H8="",'Quote Calculator'!$C$7,$H8)),IF($I8="",'Quote Calculator'!$C$8,$I8)))</f>
        <v/>
      </c>
    </row>
    <row r="9" customFormat="false" ht="15" hidden="false" customHeight="false" outlineLevel="0" collapsed="false">
      <c r="A9" s="24"/>
      <c r="B9" s="24"/>
      <c r="C9" s="25" t="str">
        <f aca="false">IF($A9="","",IFERROR(INDEX('ZIP Database'!$B:$B,MATCH(LEFT(TEXT($A9,"00000"),3),'ZIP Database'!$A:$A,0))&amp;", "&amp;INDEX('ZIP Database'!$C:$C,MATCH(LEFT(TEXT($A9,"00000"),3),'ZIP Database'!$A:$A,0)),"not found"))</f>
        <v/>
      </c>
      <c r="D9" s="25" t="str">
        <f aca="false">IF($B9="","",IFERROR(INDEX('ZIP Database'!$B:$B,MATCH(LEFT(TEXT($B9,"00000"),3),'ZIP Database'!$A:$A,0))&amp;", "&amp;INDEX('ZIP Database'!$C:$C,MATCH(LEFT(TEXT($B9,"00000"),3),'ZIP Database'!$A:$A,0)),"not found"))</f>
        <v/>
      </c>
      <c r="E9" s="26" t="str">
        <f aca="false">IF(OR($A9="",$B9=""),"",IFERROR(ROUND(3958.8*ACOS(MIN(1,SIN(RADIANS(INDEX('ZIP Database'!$D:$D,MATCH(LEFT(TEXT($A9,"00000"),3),'ZIP Database'!$A:$A,0))))*SIN(RADIANS(INDEX('ZIP Database'!$D:$D,MATCH(LEFT(TEXT($B9,"00000"),3),'ZIP Database'!$A:$A,0))))+COS(RADIANS(INDEX('ZIP Database'!$D:$D,MATCH(LEFT(TEXT($A9,"00000"),3),'ZIP Database'!$A:$A,0))))*COS(RADIANS(INDEX('ZIP Database'!$D:$D,MATCH(LEFT(TEXT($B9,"00000"),3),'ZIP Database'!$A:$A,0))))*COS(RADIANS(INDEX('ZIP Database'!$E:$E,MATCH(LEFT(TEXT($B9,"00000"),3),'ZIP Database'!$A:$A,0))-INDEX('ZIP Database'!$E:$E,MATCH(LEFT(TEXT($A9,"00000"),3),'ZIP Database'!$A:$A,0)))))),1),"not found"))</f>
        <v/>
      </c>
      <c r="F9" s="27" t="str">
        <f aca="false">IF(OR($E9="",$E9="not found"),"",ROUND($E9*'Quote Calculator'!$C$9,0))</f>
        <v/>
      </c>
      <c r="G9" s="28"/>
      <c r="H9" s="29"/>
      <c r="I9" s="28"/>
      <c r="J9" s="30" t="str">
        <f aca="false">IF($F9="","",MAX($F9*IF($G9="",'Quote Calculator'!$C$6,$G9)*(1+IF($H9="",'Quote Calculator'!$C$7,$H9)),IF($I9="",'Quote Calculator'!$C$8,$I9)))</f>
        <v/>
      </c>
    </row>
    <row r="10" customFormat="false" ht="15" hidden="false" customHeight="false" outlineLevel="0" collapsed="false">
      <c r="A10" s="24"/>
      <c r="B10" s="24"/>
      <c r="C10" s="25" t="str">
        <f aca="false">IF($A10="","",IFERROR(INDEX('ZIP Database'!$B:$B,MATCH(LEFT(TEXT($A10,"00000"),3),'ZIP Database'!$A:$A,0))&amp;", "&amp;INDEX('ZIP Database'!$C:$C,MATCH(LEFT(TEXT($A10,"00000"),3),'ZIP Database'!$A:$A,0)),"not found"))</f>
        <v/>
      </c>
      <c r="D10" s="25" t="str">
        <f aca="false">IF($B10="","",IFERROR(INDEX('ZIP Database'!$B:$B,MATCH(LEFT(TEXT($B10,"00000"),3),'ZIP Database'!$A:$A,0))&amp;", "&amp;INDEX('ZIP Database'!$C:$C,MATCH(LEFT(TEXT($B10,"00000"),3),'ZIP Database'!$A:$A,0)),"not found"))</f>
        <v/>
      </c>
      <c r="E10" s="26" t="str">
        <f aca="false">IF(OR($A10="",$B10=""),"",IFERROR(ROUND(3958.8*ACOS(MIN(1,SIN(RADIANS(INDEX('ZIP Database'!$D:$D,MATCH(LEFT(TEXT($A10,"00000"),3),'ZIP Database'!$A:$A,0))))*SIN(RADIANS(INDEX('ZIP Database'!$D:$D,MATCH(LEFT(TEXT($B10,"00000"),3),'ZIP Database'!$A:$A,0))))+COS(RADIANS(INDEX('ZIP Database'!$D:$D,MATCH(LEFT(TEXT($A10,"00000"),3),'ZIP Database'!$A:$A,0))))*COS(RADIANS(INDEX('ZIP Database'!$D:$D,MATCH(LEFT(TEXT($B10,"00000"),3),'ZIP Database'!$A:$A,0))))*COS(RADIANS(INDEX('ZIP Database'!$E:$E,MATCH(LEFT(TEXT($B10,"00000"),3),'ZIP Database'!$A:$A,0))-INDEX('ZIP Database'!$E:$E,MATCH(LEFT(TEXT($A10,"00000"),3),'ZIP Database'!$A:$A,0)))))),1),"not found"))</f>
        <v/>
      </c>
      <c r="F10" s="27" t="str">
        <f aca="false">IF(OR($E10="",$E10="not found"),"",ROUND($E10*'Quote Calculator'!$C$9,0))</f>
        <v/>
      </c>
      <c r="G10" s="28"/>
      <c r="H10" s="29"/>
      <c r="I10" s="28"/>
      <c r="J10" s="30" t="str">
        <f aca="false">IF($F10="","",MAX($F10*IF($G10="",'Quote Calculator'!$C$6,$G10)*(1+IF($H10="",'Quote Calculator'!$C$7,$H10)),IF($I10="",'Quote Calculator'!$C$8,$I10)))</f>
        <v/>
      </c>
    </row>
    <row r="11" customFormat="false" ht="15" hidden="false" customHeight="false" outlineLevel="0" collapsed="false">
      <c r="A11" s="24"/>
      <c r="B11" s="24"/>
      <c r="C11" s="25" t="str">
        <f aca="false">IF($A11="","",IFERROR(INDEX('ZIP Database'!$B:$B,MATCH(LEFT(TEXT($A11,"00000"),3),'ZIP Database'!$A:$A,0))&amp;", "&amp;INDEX('ZIP Database'!$C:$C,MATCH(LEFT(TEXT($A11,"00000"),3),'ZIP Database'!$A:$A,0)),"not found"))</f>
        <v/>
      </c>
      <c r="D11" s="25" t="str">
        <f aca="false">IF($B11="","",IFERROR(INDEX('ZIP Database'!$B:$B,MATCH(LEFT(TEXT($B11,"00000"),3),'ZIP Database'!$A:$A,0))&amp;", "&amp;INDEX('ZIP Database'!$C:$C,MATCH(LEFT(TEXT($B11,"00000"),3),'ZIP Database'!$A:$A,0)),"not found"))</f>
        <v/>
      </c>
      <c r="E11" s="26" t="str">
        <f aca="false">IF(OR($A11="",$B11=""),"",IFERROR(ROUND(3958.8*ACOS(MIN(1,SIN(RADIANS(INDEX('ZIP Database'!$D:$D,MATCH(LEFT(TEXT($A11,"00000"),3),'ZIP Database'!$A:$A,0))))*SIN(RADIANS(INDEX('ZIP Database'!$D:$D,MATCH(LEFT(TEXT($B11,"00000"),3),'ZIP Database'!$A:$A,0))))+COS(RADIANS(INDEX('ZIP Database'!$D:$D,MATCH(LEFT(TEXT($A11,"00000"),3),'ZIP Database'!$A:$A,0))))*COS(RADIANS(INDEX('ZIP Database'!$D:$D,MATCH(LEFT(TEXT($B11,"00000"),3),'ZIP Database'!$A:$A,0))))*COS(RADIANS(INDEX('ZIP Database'!$E:$E,MATCH(LEFT(TEXT($B11,"00000"),3),'ZIP Database'!$A:$A,0))-INDEX('ZIP Database'!$E:$E,MATCH(LEFT(TEXT($A11,"00000"),3),'ZIP Database'!$A:$A,0)))))),1),"not found"))</f>
        <v/>
      </c>
      <c r="F11" s="27" t="str">
        <f aca="false">IF(OR($E11="",$E11="not found"),"",ROUND($E11*'Quote Calculator'!$C$9,0))</f>
        <v/>
      </c>
      <c r="G11" s="28"/>
      <c r="H11" s="29"/>
      <c r="I11" s="28"/>
      <c r="J11" s="30" t="str">
        <f aca="false">IF($F11="","",MAX($F11*IF($G11="",'Quote Calculator'!$C$6,$G11)*(1+IF($H11="",'Quote Calculator'!$C$7,$H11)),IF($I11="",'Quote Calculator'!$C$8,$I11)))</f>
        <v/>
      </c>
    </row>
    <row r="12" customFormat="false" ht="15" hidden="false" customHeight="false" outlineLevel="0" collapsed="false">
      <c r="A12" s="24"/>
      <c r="B12" s="24"/>
      <c r="C12" s="25" t="str">
        <f aca="false">IF($A12="","",IFERROR(INDEX('ZIP Database'!$B:$B,MATCH(LEFT(TEXT($A12,"00000"),3),'ZIP Database'!$A:$A,0))&amp;", "&amp;INDEX('ZIP Database'!$C:$C,MATCH(LEFT(TEXT($A12,"00000"),3),'ZIP Database'!$A:$A,0)),"not found"))</f>
        <v/>
      </c>
      <c r="D12" s="25" t="str">
        <f aca="false">IF($B12="","",IFERROR(INDEX('ZIP Database'!$B:$B,MATCH(LEFT(TEXT($B12,"00000"),3),'ZIP Database'!$A:$A,0))&amp;", "&amp;INDEX('ZIP Database'!$C:$C,MATCH(LEFT(TEXT($B12,"00000"),3),'ZIP Database'!$A:$A,0)),"not found"))</f>
        <v/>
      </c>
      <c r="E12" s="26" t="str">
        <f aca="false">IF(OR($A12="",$B12=""),"",IFERROR(ROUND(3958.8*ACOS(MIN(1,SIN(RADIANS(INDEX('ZIP Database'!$D:$D,MATCH(LEFT(TEXT($A12,"00000"),3),'ZIP Database'!$A:$A,0))))*SIN(RADIANS(INDEX('ZIP Database'!$D:$D,MATCH(LEFT(TEXT($B12,"00000"),3),'ZIP Database'!$A:$A,0))))+COS(RADIANS(INDEX('ZIP Database'!$D:$D,MATCH(LEFT(TEXT($A12,"00000"),3),'ZIP Database'!$A:$A,0))))*COS(RADIANS(INDEX('ZIP Database'!$D:$D,MATCH(LEFT(TEXT($B12,"00000"),3),'ZIP Database'!$A:$A,0))))*COS(RADIANS(INDEX('ZIP Database'!$E:$E,MATCH(LEFT(TEXT($B12,"00000"),3),'ZIP Database'!$A:$A,0))-INDEX('ZIP Database'!$E:$E,MATCH(LEFT(TEXT($A12,"00000"),3),'ZIP Database'!$A:$A,0)))))),1),"not found"))</f>
        <v/>
      </c>
      <c r="F12" s="27" t="str">
        <f aca="false">IF(OR($E12="",$E12="not found"),"",ROUND($E12*'Quote Calculator'!$C$9,0))</f>
        <v/>
      </c>
      <c r="G12" s="28"/>
      <c r="H12" s="29"/>
      <c r="I12" s="28"/>
      <c r="J12" s="30" t="str">
        <f aca="false">IF($F12="","",MAX($F12*IF($G12="",'Quote Calculator'!$C$6,$G12)*(1+IF($H12="",'Quote Calculator'!$C$7,$H12)),IF($I12="",'Quote Calculator'!$C$8,$I12)))</f>
        <v/>
      </c>
    </row>
    <row r="13" customFormat="false" ht="15" hidden="false" customHeight="false" outlineLevel="0" collapsed="false">
      <c r="A13" s="24"/>
      <c r="B13" s="24"/>
      <c r="C13" s="25" t="str">
        <f aca="false">IF($A13="","",IFERROR(INDEX('ZIP Database'!$B:$B,MATCH(LEFT(TEXT($A13,"00000"),3),'ZIP Database'!$A:$A,0))&amp;", "&amp;INDEX('ZIP Database'!$C:$C,MATCH(LEFT(TEXT($A13,"00000"),3),'ZIP Database'!$A:$A,0)),"not found"))</f>
        <v/>
      </c>
      <c r="D13" s="25" t="str">
        <f aca="false">IF($B13="","",IFERROR(INDEX('ZIP Database'!$B:$B,MATCH(LEFT(TEXT($B13,"00000"),3),'ZIP Database'!$A:$A,0))&amp;", "&amp;INDEX('ZIP Database'!$C:$C,MATCH(LEFT(TEXT($B13,"00000"),3),'ZIP Database'!$A:$A,0)),"not found"))</f>
        <v/>
      </c>
      <c r="E13" s="26" t="str">
        <f aca="false">IF(OR($A13="",$B13=""),"",IFERROR(ROUND(3958.8*ACOS(MIN(1,SIN(RADIANS(INDEX('ZIP Database'!$D:$D,MATCH(LEFT(TEXT($A13,"00000"),3),'ZIP Database'!$A:$A,0))))*SIN(RADIANS(INDEX('ZIP Database'!$D:$D,MATCH(LEFT(TEXT($B13,"00000"),3),'ZIP Database'!$A:$A,0))))+COS(RADIANS(INDEX('ZIP Database'!$D:$D,MATCH(LEFT(TEXT($A13,"00000"),3),'ZIP Database'!$A:$A,0))))*COS(RADIANS(INDEX('ZIP Database'!$D:$D,MATCH(LEFT(TEXT($B13,"00000"),3),'ZIP Database'!$A:$A,0))))*COS(RADIANS(INDEX('ZIP Database'!$E:$E,MATCH(LEFT(TEXT($B13,"00000"),3),'ZIP Database'!$A:$A,0))-INDEX('ZIP Database'!$E:$E,MATCH(LEFT(TEXT($A13,"00000"),3),'ZIP Database'!$A:$A,0)))))),1),"not found"))</f>
        <v/>
      </c>
      <c r="F13" s="27" t="str">
        <f aca="false">IF(OR($E13="",$E13="not found"),"",ROUND($E13*'Quote Calculator'!$C$9,0))</f>
        <v/>
      </c>
      <c r="G13" s="28"/>
      <c r="H13" s="29"/>
      <c r="I13" s="28"/>
      <c r="J13" s="30" t="str">
        <f aca="false">IF($F13="","",MAX($F13*IF($G13="",'Quote Calculator'!$C$6,$G13)*(1+IF($H13="",'Quote Calculator'!$C$7,$H13)),IF($I13="",'Quote Calculator'!$C$8,$I13)))</f>
        <v/>
      </c>
    </row>
    <row r="14" customFormat="false" ht="15" hidden="false" customHeight="false" outlineLevel="0" collapsed="false">
      <c r="A14" s="24"/>
      <c r="B14" s="24"/>
      <c r="C14" s="25" t="str">
        <f aca="false">IF($A14="","",IFERROR(INDEX('ZIP Database'!$B:$B,MATCH(LEFT(TEXT($A14,"00000"),3),'ZIP Database'!$A:$A,0))&amp;", "&amp;INDEX('ZIP Database'!$C:$C,MATCH(LEFT(TEXT($A14,"00000"),3),'ZIP Database'!$A:$A,0)),"not found"))</f>
        <v/>
      </c>
      <c r="D14" s="25" t="str">
        <f aca="false">IF($B14="","",IFERROR(INDEX('ZIP Database'!$B:$B,MATCH(LEFT(TEXT($B14,"00000"),3),'ZIP Database'!$A:$A,0))&amp;", "&amp;INDEX('ZIP Database'!$C:$C,MATCH(LEFT(TEXT($B14,"00000"),3),'ZIP Database'!$A:$A,0)),"not found"))</f>
        <v/>
      </c>
      <c r="E14" s="26" t="str">
        <f aca="false">IF(OR($A14="",$B14=""),"",IFERROR(ROUND(3958.8*ACOS(MIN(1,SIN(RADIANS(INDEX('ZIP Database'!$D:$D,MATCH(LEFT(TEXT($A14,"00000"),3),'ZIP Database'!$A:$A,0))))*SIN(RADIANS(INDEX('ZIP Database'!$D:$D,MATCH(LEFT(TEXT($B14,"00000"),3),'ZIP Database'!$A:$A,0))))+COS(RADIANS(INDEX('ZIP Database'!$D:$D,MATCH(LEFT(TEXT($A14,"00000"),3),'ZIP Database'!$A:$A,0))))*COS(RADIANS(INDEX('ZIP Database'!$D:$D,MATCH(LEFT(TEXT($B14,"00000"),3),'ZIP Database'!$A:$A,0))))*COS(RADIANS(INDEX('ZIP Database'!$E:$E,MATCH(LEFT(TEXT($B14,"00000"),3),'ZIP Database'!$A:$A,0))-INDEX('ZIP Database'!$E:$E,MATCH(LEFT(TEXT($A14,"00000"),3),'ZIP Database'!$A:$A,0)))))),1),"not found"))</f>
        <v/>
      </c>
      <c r="F14" s="27" t="str">
        <f aca="false">IF(OR($E14="",$E14="not found"),"",ROUND($E14*'Quote Calculator'!$C$9,0))</f>
        <v/>
      </c>
      <c r="G14" s="28"/>
      <c r="H14" s="29"/>
      <c r="I14" s="28"/>
      <c r="J14" s="30" t="str">
        <f aca="false">IF($F14="","",MAX($F14*IF($G14="",'Quote Calculator'!$C$6,$G14)*(1+IF($H14="",'Quote Calculator'!$C$7,$H14)),IF($I14="",'Quote Calculator'!$C$8,$I14)))</f>
        <v/>
      </c>
    </row>
    <row r="15" customFormat="false" ht="15" hidden="false" customHeight="false" outlineLevel="0" collapsed="false">
      <c r="A15" s="24"/>
      <c r="B15" s="24"/>
      <c r="C15" s="25" t="str">
        <f aca="false">IF($A15="","",IFERROR(INDEX('ZIP Database'!$B:$B,MATCH(LEFT(TEXT($A15,"00000"),3),'ZIP Database'!$A:$A,0))&amp;", "&amp;INDEX('ZIP Database'!$C:$C,MATCH(LEFT(TEXT($A15,"00000"),3),'ZIP Database'!$A:$A,0)),"not found"))</f>
        <v/>
      </c>
      <c r="D15" s="25" t="str">
        <f aca="false">IF($B15="","",IFERROR(INDEX('ZIP Database'!$B:$B,MATCH(LEFT(TEXT($B15,"00000"),3),'ZIP Database'!$A:$A,0))&amp;", "&amp;INDEX('ZIP Database'!$C:$C,MATCH(LEFT(TEXT($B15,"00000"),3),'ZIP Database'!$A:$A,0)),"not found"))</f>
        <v/>
      </c>
      <c r="E15" s="26" t="str">
        <f aca="false">IF(OR($A15="",$B15=""),"",IFERROR(ROUND(3958.8*ACOS(MIN(1,SIN(RADIANS(INDEX('ZIP Database'!$D:$D,MATCH(LEFT(TEXT($A15,"00000"),3),'ZIP Database'!$A:$A,0))))*SIN(RADIANS(INDEX('ZIP Database'!$D:$D,MATCH(LEFT(TEXT($B15,"00000"),3),'ZIP Database'!$A:$A,0))))+COS(RADIANS(INDEX('ZIP Database'!$D:$D,MATCH(LEFT(TEXT($A15,"00000"),3),'ZIP Database'!$A:$A,0))))*COS(RADIANS(INDEX('ZIP Database'!$D:$D,MATCH(LEFT(TEXT($B15,"00000"),3),'ZIP Database'!$A:$A,0))))*COS(RADIANS(INDEX('ZIP Database'!$E:$E,MATCH(LEFT(TEXT($B15,"00000"),3),'ZIP Database'!$A:$A,0))-INDEX('ZIP Database'!$E:$E,MATCH(LEFT(TEXT($A15,"00000"),3),'ZIP Database'!$A:$A,0)))))),1),"not found"))</f>
        <v/>
      </c>
      <c r="F15" s="27" t="str">
        <f aca="false">IF(OR($E15="",$E15="not found"),"",ROUND($E15*'Quote Calculator'!$C$9,0))</f>
        <v/>
      </c>
      <c r="G15" s="28"/>
      <c r="H15" s="29"/>
      <c r="I15" s="28"/>
      <c r="J15" s="30" t="str">
        <f aca="false">IF($F15="","",MAX($F15*IF($G15="",'Quote Calculator'!$C$6,$G15)*(1+IF($H15="",'Quote Calculator'!$C$7,$H15)),IF($I15="",'Quote Calculator'!$C$8,$I15)))</f>
        <v/>
      </c>
    </row>
    <row r="16" customFormat="false" ht="15" hidden="false" customHeight="false" outlineLevel="0" collapsed="false">
      <c r="A16" s="24"/>
      <c r="B16" s="24"/>
      <c r="C16" s="25" t="str">
        <f aca="false">IF($A16="","",IFERROR(INDEX('ZIP Database'!$B:$B,MATCH(LEFT(TEXT($A16,"00000"),3),'ZIP Database'!$A:$A,0))&amp;", "&amp;INDEX('ZIP Database'!$C:$C,MATCH(LEFT(TEXT($A16,"00000"),3),'ZIP Database'!$A:$A,0)),"not found"))</f>
        <v/>
      </c>
      <c r="D16" s="25" t="str">
        <f aca="false">IF($B16="","",IFERROR(INDEX('ZIP Database'!$B:$B,MATCH(LEFT(TEXT($B16,"00000"),3),'ZIP Database'!$A:$A,0))&amp;", "&amp;INDEX('ZIP Database'!$C:$C,MATCH(LEFT(TEXT($B16,"00000"),3),'ZIP Database'!$A:$A,0)),"not found"))</f>
        <v/>
      </c>
      <c r="E16" s="26" t="str">
        <f aca="false">IF(OR($A16="",$B16=""),"",IFERROR(ROUND(3958.8*ACOS(MIN(1,SIN(RADIANS(INDEX('ZIP Database'!$D:$D,MATCH(LEFT(TEXT($A16,"00000"),3),'ZIP Database'!$A:$A,0))))*SIN(RADIANS(INDEX('ZIP Database'!$D:$D,MATCH(LEFT(TEXT($B16,"00000"),3),'ZIP Database'!$A:$A,0))))+COS(RADIANS(INDEX('ZIP Database'!$D:$D,MATCH(LEFT(TEXT($A16,"00000"),3),'ZIP Database'!$A:$A,0))))*COS(RADIANS(INDEX('ZIP Database'!$D:$D,MATCH(LEFT(TEXT($B16,"00000"),3),'ZIP Database'!$A:$A,0))))*COS(RADIANS(INDEX('ZIP Database'!$E:$E,MATCH(LEFT(TEXT($B16,"00000"),3),'ZIP Database'!$A:$A,0))-INDEX('ZIP Database'!$E:$E,MATCH(LEFT(TEXT($A16,"00000"),3),'ZIP Database'!$A:$A,0)))))),1),"not found"))</f>
        <v/>
      </c>
      <c r="F16" s="27" t="str">
        <f aca="false">IF(OR($E16="",$E16="not found"),"",ROUND($E16*'Quote Calculator'!$C$9,0))</f>
        <v/>
      </c>
      <c r="G16" s="28"/>
      <c r="H16" s="29"/>
      <c r="I16" s="28"/>
      <c r="J16" s="30" t="str">
        <f aca="false">IF($F16="","",MAX($F16*IF($G16="",'Quote Calculator'!$C$6,$G16)*(1+IF($H16="",'Quote Calculator'!$C$7,$H16)),IF($I16="",'Quote Calculator'!$C$8,$I16)))</f>
        <v/>
      </c>
    </row>
    <row r="17" customFormat="false" ht="15" hidden="false" customHeight="false" outlineLevel="0" collapsed="false">
      <c r="A17" s="24"/>
      <c r="B17" s="24"/>
      <c r="C17" s="25" t="str">
        <f aca="false">IF($A17="","",IFERROR(INDEX('ZIP Database'!$B:$B,MATCH(LEFT(TEXT($A17,"00000"),3),'ZIP Database'!$A:$A,0))&amp;", "&amp;INDEX('ZIP Database'!$C:$C,MATCH(LEFT(TEXT($A17,"00000"),3),'ZIP Database'!$A:$A,0)),"not found"))</f>
        <v/>
      </c>
      <c r="D17" s="25" t="str">
        <f aca="false">IF($B17="","",IFERROR(INDEX('ZIP Database'!$B:$B,MATCH(LEFT(TEXT($B17,"00000"),3),'ZIP Database'!$A:$A,0))&amp;", "&amp;INDEX('ZIP Database'!$C:$C,MATCH(LEFT(TEXT($B17,"00000"),3),'ZIP Database'!$A:$A,0)),"not found"))</f>
        <v/>
      </c>
      <c r="E17" s="26" t="str">
        <f aca="false">IF(OR($A17="",$B17=""),"",IFERROR(ROUND(3958.8*ACOS(MIN(1,SIN(RADIANS(INDEX('ZIP Database'!$D:$D,MATCH(LEFT(TEXT($A17,"00000"),3),'ZIP Database'!$A:$A,0))))*SIN(RADIANS(INDEX('ZIP Database'!$D:$D,MATCH(LEFT(TEXT($B17,"00000"),3),'ZIP Database'!$A:$A,0))))+COS(RADIANS(INDEX('ZIP Database'!$D:$D,MATCH(LEFT(TEXT($A17,"00000"),3),'ZIP Database'!$A:$A,0))))*COS(RADIANS(INDEX('ZIP Database'!$D:$D,MATCH(LEFT(TEXT($B17,"00000"),3),'ZIP Database'!$A:$A,0))))*COS(RADIANS(INDEX('ZIP Database'!$E:$E,MATCH(LEFT(TEXT($B17,"00000"),3),'ZIP Database'!$A:$A,0))-INDEX('ZIP Database'!$E:$E,MATCH(LEFT(TEXT($A17,"00000"),3),'ZIP Database'!$A:$A,0)))))),1),"not found"))</f>
        <v/>
      </c>
      <c r="F17" s="27" t="str">
        <f aca="false">IF(OR($E17="",$E17="not found"),"",ROUND($E17*'Quote Calculator'!$C$9,0))</f>
        <v/>
      </c>
      <c r="G17" s="28"/>
      <c r="H17" s="29"/>
      <c r="I17" s="28"/>
      <c r="J17" s="30" t="str">
        <f aca="false">IF($F17="","",MAX($F17*IF($G17="",'Quote Calculator'!$C$6,$G17)*(1+IF($H17="",'Quote Calculator'!$C$7,$H17)),IF($I17="",'Quote Calculator'!$C$8,$I17)))</f>
        <v/>
      </c>
    </row>
    <row r="18" customFormat="false" ht="15" hidden="false" customHeight="false" outlineLevel="0" collapsed="false">
      <c r="A18" s="24"/>
      <c r="B18" s="24"/>
      <c r="C18" s="25" t="str">
        <f aca="false">IF($A18="","",IFERROR(INDEX('ZIP Database'!$B:$B,MATCH(LEFT(TEXT($A18,"00000"),3),'ZIP Database'!$A:$A,0))&amp;", "&amp;INDEX('ZIP Database'!$C:$C,MATCH(LEFT(TEXT($A18,"00000"),3),'ZIP Database'!$A:$A,0)),"not found"))</f>
        <v/>
      </c>
      <c r="D18" s="25" t="str">
        <f aca="false">IF($B18="","",IFERROR(INDEX('ZIP Database'!$B:$B,MATCH(LEFT(TEXT($B18,"00000"),3),'ZIP Database'!$A:$A,0))&amp;", "&amp;INDEX('ZIP Database'!$C:$C,MATCH(LEFT(TEXT($B18,"00000"),3),'ZIP Database'!$A:$A,0)),"not found"))</f>
        <v/>
      </c>
      <c r="E18" s="26" t="str">
        <f aca="false">IF(OR($A18="",$B18=""),"",IFERROR(ROUND(3958.8*ACOS(MIN(1,SIN(RADIANS(INDEX('ZIP Database'!$D:$D,MATCH(LEFT(TEXT($A18,"00000"),3),'ZIP Database'!$A:$A,0))))*SIN(RADIANS(INDEX('ZIP Database'!$D:$D,MATCH(LEFT(TEXT($B18,"00000"),3),'ZIP Database'!$A:$A,0))))+COS(RADIANS(INDEX('ZIP Database'!$D:$D,MATCH(LEFT(TEXT($A18,"00000"),3),'ZIP Database'!$A:$A,0))))*COS(RADIANS(INDEX('ZIP Database'!$D:$D,MATCH(LEFT(TEXT($B18,"00000"),3),'ZIP Database'!$A:$A,0))))*COS(RADIANS(INDEX('ZIP Database'!$E:$E,MATCH(LEFT(TEXT($B18,"00000"),3),'ZIP Database'!$A:$A,0))-INDEX('ZIP Database'!$E:$E,MATCH(LEFT(TEXT($A18,"00000"),3),'ZIP Database'!$A:$A,0)))))),1),"not found"))</f>
        <v/>
      </c>
      <c r="F18" s="27" t="str">
        <f aca="false">IF(OR($E18="",$E18="not found"),"",ROUND($E18*'Quote Calculator'!$C$9,0))</f>
        <v/>
      </c>
      <c r="G18" s="28"/>
      <c r="H18" s="29"/>
      <c r="I18" s="28"/>
      <c r="J18" s="30" t="str">
        <f aca="false">IF($F18="","",MAX($F18*IF($G18="",'Quote Calculator'!$C$6,$G18)*(1+IF($H18="",'Quote Calculator'!$C$7,$H18)),IF($I18="",'Quote Calculator'!$C$8,$I18)))</f>
        <v/>
      </c>
    </row>
    <row r="19" customFormat="false" ht="15" hidden="false" customHeight="false" outlineLevel="0" collapsed="false">
      <c r="A19" s="24"/>
      <c r="B19" s="24"/>
      <c r="C19" s="25" t="str">
        <f aca="false">IF($A19="","",IFERROR(INDEX('ZIP Database'!$B:$B,MATCH(LEFT(TEXT($A19,"00000"),3),'ZIP Database'!$A:$A,0))&amp;", "&amp;INDEX('ZIP Database'!$C:$C,MATCH(LEFT(TEXT($A19,"00000"),3),'ZIP Database'!$A:$A,0)),"not found"))</f>
        <v/>
      </c>
      <c r="D19" s="25" t="str">
        <f aca="false">IF($B19="","",IFERROR(INDEX('ZIP Database'!$B:$B,MATCH(LEFT(TEXT($B19,"00000"),3),'ZIP Database'!$A:$A,0))&amp;", "&amp;INDEX('ZIP Database'!$C:$C,MATCH(LEFT(TEXT($B19,"00000"),3),'ZIP Database'!$A:$A,0)),"not found"))</f>
        <v/>
      </c>
      <c r="E19" s="26" t="str">
        <f aca="false">IF(OR($A19="",$B19=""),"",IFERROR(ROUND(3958.8*ACOS(MIN(1,SIN(RADIANS(INDEX('ZIP Database'!$D:$D,MATCH(LEFT(TEXT($A19,"00000"),3),'ZIP Database'!$A:$A,0))))*SIN(RADIANS(INDEX('ZIP Database'!$D:$D,MATCH(LEFT(TEXT($B19,"00000"),3),'ZIP Database'!$A:$A,0))))+COS(RADIANS(INDEX('ZIP Database'!$D:$D,MATCH(LEFT(TEXT($A19,"00000"),3),'ZIP Database'!$A:$A,0))))*COS(RADIANS(INDEX('ZIP Database'!$D:$D,MATCH(LEFT(TEXT($B19,"00000"),3),'ZIP Database'!$A:$A,0))))*COS(RADIANS(INDEX('ZIP Database'!$E:$E,MATCH(LEFT(TEXT($B19,"00000"),3),'ZIP Database'!$A:$A,0))-INDEX('ZIP Database'!$E:$E,MATCH(LEFT(TEXT($A19,"00000"),3),'ZIP Database'!$A:$A,0)))))),1),"not found"))</f>
        <v/>
      </c>
      <c r="F19" s="27" t="str">
        <f aca="false">IF(OR($E19="",$E19="not found"),"",ROUND($E19*'Quote Calculator'!$C$9,0))</f>
        <v/>
      </c>
      <c r="G19" s="28"/>
      <c r="H19" s="29"/>
      <c r="I19" s="28"/>
      <c r="J19" s="30" t="str">
        <f aca="false">IF($F19="","",MAX($F19*IF($G19="",'Quote Calculator'!$C$6,$G19)*(1+IF($H19="",'Quote Calculator'!$C$7,$H19)),IF($I19="",'Quote Calculator'!$C$8,$I19)))</f>
        <v/>
      </c>
    </row>
    <row r="20" customFormat="false" ht="15" hidden="false" customHeight="false" outlineLevel="0" collapsed="false">
      <c r="A20" s="24"/>
      <c r="B20" s="24"/>
      <c r="C20" s="25" t="str">
        <f aca="false">IF($A20="","",IFERROR(INDEX('ZIP Database'!$B:$B,MATCH(LEFT(TEXT($A20,"00000"),3),'ZIP Database'!$A:$A,0))&amp;", "&amp;INDEX('ZIP Database'!$C:$C,MATCH(LEFT(TEXT($A20,"00000"),3),'ZIP Database'!$A:$A,0)),"not found"))</f>
        <v/>
      </c>
      <c r="D20" s="25" t="str">
        <f aca="false">IF($B20="","",IFERROR(INDEX('ZIP Database'!$B:$B,MATCH(LEFT(TEXT($B20,"00000"),3),'ZIP Database'!$A:$A,0))&amp;", "&amp;INDEX('ZIP Database'!$C:$C,MATCH(LEFT(TEXT($B20,"00000"),3),'ZIP Database'!$A:$A,0)),"not found"))</f>
        <v/>
      </c>
      <c r="E20" s="26" t="str">
        <f aca="false">IF(OR($A20="",$B20=""),"",IFERROR(ROUND(3958.8*ACOS(MIN(1,SIN(RADIANS(INDEX('ZIP Database'!$D:$D,MATCH(LEFT(TEXT($A20,"00000"),3),'ZIP Database'!$A:$A,0))))*SIN(RADIANS(INDEX('ZIP Database'!$D:$D,MATCH(LEFT(TEXT($B20,"00000"),3),'ZIP Database'!$A:$A,0))))+COS(RADIANS(INDEX('ZIP Database'!$D:$D,MATCH(LEFT(TEXT($A20,"00000"),3),'ZIP Database'!$A:$A,0))))*COS(RADIANS(INDEX('ZIP Database'!$D:$D,MATCH(LEFT(TEXT($B20,"00000"),3),'ZIP Database'!$A:$A,0))))*COS(RADIANS(INDEX('ZIP Database'!$E:$E,MATCH(LEFT(TEXT($B20,"00000"),3),'ZIP Database'!$A:$A,0))-INDEX('ZIP Database'!$E:$E,MATCH(LEFT(TEXT($A20,"00000"),3),'ZIP Database'!$A:$A,0)))))),1),"not found"))</f>
        <v/>
      </c>
      <c r="F20" s="27" t="str">
        <f aca="false">IF(OR($E20="",$E20="not found"),"",ROUND($E20*'Quote Calculator'!$C$9,0))</f>
        <v/>
      </c>
      <c r="G20" s="28"/>
      <c r="H20" s="29"/>
      <c r="I20" s="28"/>
      <c r="J20" s="30" t="str">
        <f aca="false">IF($F20="","",MAX($F20*IF($G20="",'Quote Calculator'!$C$6,$G20)*(1+IF($H20="",'Quote Calculator'!$C$7,$H20)),IF($I20="",'Quote Calculator'!$C$8,$I20)))</f>
        <v/>
      </c>
    </row>
    <row r="21" customFormat="false" ht="15" hidden="false" customHeight="false" outlineLevel="0" collapsed="false">
      <c r="A21" s="24"/>
      <c r="B21" s="24"/>
      <c r="C21" s="25" t="str">
        <f aca="false">IF($A21="","",IFERROR(INDEX('ZIP Database'!$B:$B,MATCH(LEFT(TEXT($A21,"00000"),3),'ZIP Database'!$A:$A,0))&amp;", "&amp;INDEX('ZIP Database'!$C:$C,MATCH(LEFT(TEXT($A21,"00000"),3),'ZIP Database'!$A:$A,0)),"not found"))</f>
        <v/>
      </c>
      <c r="D21" s="25" t="str">
        <f aca="false">IF($B21="","",IFERROR(INDEX('ZIP Database'!$B:$B,MATCH(LEFT(TEXT($B21,"00000"),3),'ZIP Database'!$A:$A,0))&amp;", "&amp;INDEX('ZIP Database'!$C:$C,MATCH(LEFT(TEXT($B21,"00000"),3),'ZIP Database'!$A:$A,0)),"not found"))</f>
        <v/>
      </c>
      <c r="E21" s="26" t="str">
        <f aca="false">IF(OR($A21="",$B21=""),"",IFERROR(ROUND(3958.8*ACOS(MIN(1,SIN(RADIANS(INDEX('ZIP Database'!$D:$D,MATCH(LEFT(TEXT($A21,"00000"),3),'ZIP Database'!$A:$A,0))))*SIN(RADIANS(INDEX('ZIP Database'!$D:$D,MATCH(LEFT(TEXT($B21,"00000"),3),'ZIP Database'!$A:$A,0))))+COS(RADIANS(INDEX('ZIP Database'!$D:$D,MATCH(LEFT(TEXT($A21,"00000"),3),'ZIP Database'!$A:$A,0))))*COS(RADIANS(INDEX('ZIP Database'!$D:$D,MATCH(LEFT(TEXT($B21,"00000"),3),'ZIP Database'!$A:$A,0))))*COS(RADIANS(INDEX('ZIP Database'!$E:$E,MATCH(LEFT(TEXT($B21,"00000"),3),'ZIP Database'!$A:$A,0))-INDEX('ZIP Database'!$E:$E,MATCH(LEFT(TEXT($A21,"00000"),3),'ZIP Database'!$A:$A,0)))))),1),"not found"))</f>
        <v/>
      </c>
      <c r="F21" s="27" t="str">
        <f aca="false">IF(OR($E21="",$E21="not found"),"",ROUND($E21*'Quote Calculator'!$C$9,0))</f>
        <v/>
      </c>
      <c r="G21" s="28"/>
      <c r="H21" s="29"/>
      <c r="I21" s="28"/>
      <c r="J21" s="30" t="str">
        <f aca="false">IF($F21="","",MAX($F21*IF($G21="",'Quote Calculator'!$C$6,$G21)*(1+IF($H21="",'Quote Calculator'!$C$7,$H21)),IF($I21="",'Quote Calculator'!$C$8,$I21)))</f>
        <v/>
      </c>
    </row>
    <row r="22" customFormat="false" ht="15" hidden="false" customHeight="false" outlineLevel="0" collapsed="false">
      <c r="A22" s="24"/>
      <c r="B22" s="24"/>
      <c r="C22" s="25" t="str">
        <f aca="false">IF($A22="","",IFERROR(INDEX('ZIP Database'!$B:$B,MATCH(LEFT(TEXT($A22,"00000"),3),'ZIP Database'!$A:$A,0))&amp;", "&amp;INDEX('ZIP Database'!$C:$C,MATCH(LEFT(TEXT($A22,"00000"),3),'ZIP Database'!$A:$A,0)),"not found"))</f>
        <v/>
      </c>
      <c r="D22" s="25" t="str">
        <f aca="false">IF($B22="","",IFERROR(INDEX('ZIP Database'!$B:$B,MATCH(LEFT(TEXT($B22,"00000"),3),'ZIP Database'!$A:$A,0))&amp;", "&amp;INDEX('ZIP Database'!$C:$C,MATCH(LEFT(TEXT($B22,"00000"),3),'ZIP Database'!$A:$A,0)),"not found"))</f>
        <v/>
      </c>
      <c r="E22" s="26" t="str">
        <f aca="false">IF(OR($A22="",$B22=""),"",IFERROR(ROUND(3958.8*ACOS(MIN(1,SIN(RADIANS(INDEX('ZIP Database'!$D:$D,MATCH(LEFT(TEXT($A22,"00000"),3),'ZIP Database'!$A:$A,0))))*SIN(RADIANS(INDEX('ZIP Database'!$D:$D,MATCH(LEFT(TEXT($B22,"00000"),3),'ZIP Database'!$A:$A,0))))+COS(RADIANS(INDEX('ZIP Database'!$D:$D,MATCH(LEFT(TEXT($A22,"00000"),3),'ZIP Database'!$A:$A,0))))*COS(RADIANS(INDEX('ZIP Database'!$D:$D,MATCH(LEFT(TEXT($B22,"00000"),3),'ZIP Database'!$A:$A,0))))*COS(RADIANS(INDEX('ZIP Database'!$E:$E,MATCH(LEFT(TEXT($B22,"00000"),3),'ZIP Database'!$A:$A,0))-INDEX('ZIP Database'!$E:$E,MATCH(LEFT(TEXT($A22,"00000"),3),'ZIP Database'!$A:$A,0)))))),1),"not found"))</f>
        <v/>
      </c>
      <c r="F22" s="27" t="str">
        <f aca="false">IF(OR($E22="",$E22="not found"),"",ROUND($E22*'Quote Calculator'!$C$9,0))</f>
        <v/>
      </c>
      <c r="G22" s="28"/>
      <c r="H22" s="29"/>
      <c r="I22" s="28"/>
      <c r="J22" s="30" t="str">
        <f aca="false">IF($F22="","",MAX($F22*IF($G22="",'Quote Calculator'!$C$6,$G22)*(1+IF($H22="",'Quote Calculator'!$C$7,$H22)),IF($I22="",'Quote Calculator'!$C$8,$I22)))</f>
        <v/>
      </c>
    </row>
    <row r="23" customFormat="false" ht="15" hidden="false" customHeight="false" outlineLevel="0" collapsed="false">
      <c r="A23" s="24"/>
      <c r="B23" s="24"/>
      <c r="C23" s="25" t="str">
        <f aca="false">IF($A23="","",IFERROR(INDEX('ZIP Database'!$B:$B,MATCH(LEFT(TEXT($A23,"00000"),3),'ZIP Database'!$A:$A,0))&amp;", "&amp;INDEX('ZIP Database'!$C:$C,MATCH(LEFT(TEXT($A23,"00000"),3),'ZIP Database'!$A:$A,0)),"not found"))</f>
        <v/>
      </c>
      <c r="D23" s="25" t="str">
        <f aca="false">IF($B23="","",IFERROR(INDEX('ZIP Database'!$B:$B,MATCH(LEFT(TEXT($B23,"00000"),3),'ZIP Database'!$A:$A,0))&amp;", "&amp;INDEX('ZIP Database'!$C:$C,MATCH(LEFT(TEXT($B23,"00000"),3),'ZIP Database'!$A:$A,0)),"not found"))</f>
        <v/>
      </c>
      <c r="E23" s="26" t="str">
        <f aca="false">IF(OR($A23="",$B23=""),"",IFERROR(ROUND(3958.8*ACOS(MIN(1,SIN(RADIANS(INDEX('ZIP Database'!$D:$D,MATCH(LEFT(TEXT($A23,"00000"),3),'ZIP Database'!$A:$A,0))))*SIN(RADIANS(INDEX('ZIP Database'!$D:$D,MATCH(LEFT(TEXT($B23,"00000"),3),'ZIP Database'!$A:$A,0))))+COS(RADIANS(INDEX('ZIP Database'!$D:$D,MATCH(LEFT(TEXT($A23,"00000"),3),'ZIP Database'!$A:$A,0))))*COS(RADIANS(INDEX('ZIP Database'!$D:$D,MATCH(LEFT(TEXT($B23,"00000"),3),'ZIP Database'!$A:$A,0))))*COS(RADIANS(INDEX('ZIP Database'!$E:$E,MATCH(LEFT(TEXT($B23,"00000"),3),'ZIP Database'!$A:$A,0))-INDEX('ZIP Database'!$E:$E,MATCH(LEFT(TEXT($A23,"00000"),3),'ZIP Database'!$A:$A,0)))))),1),"not found"))</f>
        <v/>
      </c>
      <c r="F23" s="27" t="str">
        <f aca="false">IF(OR($E23="",$E23="not found"),"",ROUND($E23*'Quote Calculator'!$C$9,0))</f>
        <v/>
      </c>
      <c r="G23" s="28"/>
      <c r="H23" s="29"/>
      <c r="I23" s="28"/>
      <c r="J23" s="30" t="str">
        <f aca="false">IF($F23="","",MAX($F23*IF($G23="",'Quote Calculator'!$C$6,$G23)*(1+IF($H23="",'Quote Calculator'!$C$7,$H23)),IF($I23="",'Quote Calculator'!$C$8,$I23)))</f>
        <v/>
      </c>
    </row>
    <row r="24" customFormat="false" ht="15" hidden="false" customHeight="false" outlineLevel="0" collapsed="false">
      <c r="A24" s="24"/>
      <c r="B24" s="24"/>
      <c r="C24" s="25" t="str">
        <f aca="false">IF($A24="","",IFERROR(INDEX('ZIP Database'!$B:$B,MATCH(LEFT(TEXT($A24,"00000"),3),'ZIP Database'!$A:$A,0))&amp;", "&amp;INDEX('ZIP Database'!$C:$C,MATCH(LEFT(TEXT($A24,"00000"),3),'ZIP Database'!$A:$A,0)),"not found"))</f>
        <v/>
      </c>
      <c r="D24" s="25" t="str">
        <f aca="false">IF($B24="","",IFERROR(INDEX('ZIP Database'!$B:$B,MATCH(LEFT(TEXT($B24,"00000"),3),'ZIP Database'!$A:$A,0))&amp;", "&amp;INDEX('ZIP Database'!$C:$C,MATCH(LEFT(TEXT($B24,"00000"),3),'ZIP Database'!$A:$A,0)),"not found"))</f>
        <v/>
      </c>
      <c r="E24" s="26" t="str">
        <f aca="false">IF(OR($A24="",$B24=""),"",IFERROR(ROUND(3958.8*ACOS(MIN(1,SIN(RADIANS(INDEX('ZIP Database'!$D:$D,MATCH(LEFT(TEXT($A24,"00000"),3),'ZIP Database'!$A:$A,0))))*SIN(RADIANS(INDEX('ZIP Database'!$D:$D,MATCH(LEFT(TEXT($B24,"00000"),3),'ZIP Database'!$A:$A,0))))+COS(RADIANS(INDEX('ZIP Database'!$D:$D,MATCH(LEFT(TEXT($A24,"00000"),3),'ZIP Database'!$A:$A,0))))*COS(RADIANS(INDEX('ZIP Database'!$D:$D,MATCH(LEFT(TEXT($B24,"00000"),3),'ZIP Database'!$A:$A,0))))*COS(RADIANS(INDEX('ZIP Database'!$E:$E,MATCH(LEFT(TEXT($B24,"00000"),3),'ZIP Database'!$A:$A,0))-INDEX('ZIP Database'!$E:$E,MATCH(LEFT(TEXT($A24,"00000"),3),'ZIP Database'!$A:$A,0)))))),1),"not found"))</f>
        <v/>
      </c>
      <c r="F24" s="27" t="str">
        <f aca="false">IF(OR($E24="",$E24="not found"),"",ROUND($E24*'Quote Calculator'!$C$9,0))</f>
        <v/>
      </c>
      <c r="G24" s="28"/>
      <c r="H24" s="29"/>
      <c r="I24" s="28"/>
      <c r="J24" s="30" t="str">
        <f aca="false">IF($F24="","",MAX($F24*IF($G24="",'Quote Calculator'!$C$6,$G24)*(1+IF($H24="",'Quote Calculator'!$C$7,$H24)),IF($I24="",'Quote Calculator'!$C$8,$I24)))</f>
        <v/>
      </c>
    </row>
    <row r="25" customFormat="false" ht="15" hidden="false" customHeight="false" outlineLevel="0" collapsed="false">
      <c r="A25" s="24"/>
      <c r="B25" s="24"/>
      <c r="C25" s="25" t="str">
        <f aca="false">IF($A25="","",IFERROR(INDEX('ZIP Database'!$B:$B,MATCH(LEFT(TEXT($A25,"00000"),3),'ZIP Database'!$A:$A,0))&amp;", "&amp;INDEX('ZIP Database'!$C:$C,MATCH(LEFT(TEXT($A25,"00000"),3),'ZIP Database'!$A:$A,0)),"not found"))</f>
        <v/>
      </c>
      <c r="D25" s="25" t="str">
        <f aca="false">IF($B25="","",IFERROR(INDEX('ZIP Database'!$B:$B,MATCH(LEFT(TEXT($B25,"00000"),3),'ZIP Database'!$A:$A,0))&amp;", "&amp;INDEX('ZIP Database'!$C:$C,MATCH(LEFT(TEXT($B25,"00000"),3),'ZIP Database'!$A:$A,0)),"not found"))</f>
        <v/>
      </c>
      <c r="E25" s="26" t="str">
        <f aca="false">IF(OR($A25="",$B25=""),"",IFERROR(ROUND(3958.8*ACOS(MIN(1,SIN(RADIANS(INDEX('ZIP Database'!$D:$D,MATCH(LEFT(TEXT($A25,"00000"),3),'ZIP Database'!$A:$A,0))))*SIN(RADIANS(INDEX('ZIP Database'!$D:$D,MATCH(LEFT(TEXT($B25,"00000"),3),'ZIP Database'!$A:$A,0))))+COS(RADIANS(INDEX('ZIP Database'!$D:$D,MATCH(LEFT(TEXT($A25,"00000"),3),'ZIP Database'!$A:$A,0))))*COS(RADIANS(INDEX('ZIP Database'!$D:$D,MATCH(LEFT(TEXT($B25,"00000"),3),'ZIP Database'!$A:$A,0))))*COS(RADIANS(INDEX('ZIP Database'!$E:$E,MATCH(LEFT(TEXT($B25,"00000"),3),'ZIP Database'!$A:$A,0))-INDEX('ZIP Database'!$E:$E,MATCH(LEFT(TEXT($A25,"00000"),3),'ZIP Database'!$A:$A,0)))))),1),"not found"))</f>
        <v/>
      </c>
      <c r="F25" s="27" t="str">
        <f aca="false">IF(OR($E25="",$E25="not found"),"",ROUND($E25*'Quote Calculator'!$C$9,0))</f>
        <v/>
      </c>
      <c r="G25" s="28"/>
      <c r="H25" s="29"/>
      <c r="I25" s="28"/>
      <c r="J25" s="30" t="str">
        <f aca="false">IF($F25="","",MAX($F25*IF($G25="",'Quote Calculator'!$C$6,$G25)*(1+IF($H25="",'Quote Calculator'!$C$7,$H25)),IF($I25="",'Quote Calculator'!$C$8,$I25)))</f>
        <v/>
      </c>
    </row>
    <row r="26" customFormat="false" ht="15" hidden="false" customHeight="false" outlineLevel="0" collapsed="false">
      <c r="A26" s="24"/>
      <c r="B26" s="24"/>
      <c r="C26" s="25" t="str">
        <f aca="false">IF($A26="","",IFERROR(INDEX('ZIP Database'!$B:$B,MATCH(LEFT(TEXT($A26,"00000"),3),'ZIP Database'!$A:$A,0))&amp;", "&amp;INDEX('ZIP Database'!$C:$C,MATCH(LEFT(TEXT($A26,"00000"),3),'ZIP Database'!$A:$A,0)),"not found"))</f>
        <v/>
      </c>
      <c r="D26" s="25" t="str">
        <f aca="false">IF($B26="","",IFERROR(INDEX('ZIP Database'!$B:$B,MATCH(LEFT(TEXT($B26,"00000"),3),'ZIP Database'!$A:$A,0))&amp;", "&amp;INDEX('ZIP Database'!$C:$C,MATCH(LEFT(TEXT($B26,"00000"),3),'ZIP Database'!$A:$A,0)),"not found"))</f>
        <v/>
      </c>
      <c r="E26" s="26" t="str">
        <f aca="false">IF(OR($A26="",$B26=""),"",IFERROR(ROUND(3958.8*ACOS(MIN(1,SIN(RADIANS(INDEX('ZIP Database'!$D:$D,MATCH(LEFT(TEXT($A26,"00000"),3),'ZIP Database'!$A:$A,0))))*SIN(RADIANS(INDEX('ZIP Database'!$D:$D,MATCH(LEFT(TEXT($B26,"00000"),3),'ZIP Database'!$A:$A,0))))+COS(RADIANS(INDEX('ZIP Database'!$D:$D,MATCH(LEFT(TEXT($A26,"00000"),3),'ZIP Database'!$A:$A,0))))*COS(RADIANS(INDEX('ZIP Database'!$D:$D,MATCH(LEFT(TEXT($B26,"00000"),3),'ZIP Database'!$A:$A,0))))*COS(RADIANS(INDEX('ZIP Database'!$E:$E,MATCH(LEFT(TEXT($B26,"00000"),3),'ZIP Database'!$A:$A,0))-INDEX('ZIP Database'!$E:$E,MATCH(LEFT(TEXT($A26,"00000"),3),'ZIP Database'!$A:$A,0)))))),1),"not found"))</f>
        <v/>
      </c>
      <c r="F26" s="27" t="str">
        <f aca="false">IF(OR($E26="",$E26="not found"),"",ROUND($E26*'Quote Calculator'!$C$9,0))</f>
        <v/>
      </c>
      <c r="G26" s="28"/>
      <c r="H26" s="29"/>
      <c r="I26" s="28"/>
      <c r="J26" s="30" t="str">
        <f aca="false">IF($F26="","",MAX($F26*IF($G26="",'Quote Calculator'!$C$6,$G26)*(1+IF($H26="",'Quote Calculator'!$C$7,$H26)),IF($I26="",'Quote Calculator'!$C$8,$I26)))</f>
        <v/>
      </c>
    </row>
    <row r="27" customFormat="false" ht="15" hidden="false" customHeight="false" outlineLevel="0" collapsed="false">
      <c r="A27" s="24"/>
      <c r="B27" s="24"/>
      <c r="C27" s="25" t="str">
        <f aca="false">IF($A27="","",IFERROR(INDEX('ZIP Database'!$B:$B,MATCH(LEFT(TEXT($A27,"00000"),3),'ZIP Database'!$A:$A,0))&amp;", "&amp;INDEX('ZIP Database'!$C:$C,MATCH(LEFT(TEXT($A27,"00000"),3),'ZIP Database'!$A:$A,0)),"not found"))</f>
        <v/>
      </c>
      <c r="D27" s="25" t="str">
        <f aca="false">IF($B27="","",IFERROR(INDEX('ZIP Database'!$B:$B,MATCH(LEFT(TEXT($B27,"00000"),3),'ZIP Database'!$A:$A,0))&amp;", "&amp;INDEX('ZIP Database'!$C:$C,MATCH(LEFT(TEXT($B27,"00000"),3),'ZIP Database'!$A:$A,0)),"not found"))</f>
        <v/>
      </c>
      <c r="E27" s="26" t="str">
        <f aca="false">IF(OR($A27="",$B27=""),"",IFERROR(ROUND(3958.8*ACOS(MIN(1,SIN(RADIANS(INDEX('ZIP Database'!$D:$D,MATCH(LEFT(TEXT($A27,"00000"),3),'ZIP Database'!$A:$A,0))))*SIN(RADIANS(INDEX('ZIP Database'!$D:$D,MATCH(LEFT(TEXT($B27,"00000"),3),'ZIP Database'!$A:$A,0))))+COS(RADIANS(INDEX('ZIP Database'!$D:$D,MATCH(LEFT(TEXT($A27,"00000"),3),'ZIP Database'!$A:$A,0))))*COS(RADIANS(INDEX('ZIP Database'!$D:$D,MATCH(LEFT(TEXT($B27,"00000"),3),'ZIP Database'!$A:$A,0))))*COS(RADIANS(INDEX('ZIP Database'!$E:$E,MATCH(LEFT(TEXT($B27,"00000"),3),'ZIP Database'!$A:$A,0))-INDEX('ZIP Database'!$E:$E,MATCH(LEFT(TEXT($A27,"00000"),3),'ZIP Database'!$A:$A,0)))))),1),"not found"))</f>
        <v/>
      </c>
      <c r="F27" s="27" t="str">
        <f aca="false">IF(OR($E27="",$E27="not found"),"",ROUND($E27*'Quote Calculator'!$C$9,0))</f>
        <v/>
      </c>
      <c r="G27" s="28"/>
      <c r="H27" s="29"/>
      <c r="I27" s="28"/>
      <c r="J27" s="30" t="str">
        <f aca="false">IF($F27="","",MAX($F27*IF($G27="",'Quote Calculator'!$C$6,$G27)*(1+IF($H27="",'Quote Calculator'!$C$7,$H27)),IF($I27="",'Quote Calculator'!$C$8,$I27)))</f>
        <v/>
      </c>
    </row>
    <row r="28" customFormat="false" ht="15" hidden="false" customHeight="false" outlineLevel="0" collapsed="false">
      <c r="A28" s="24"/>
      <c r="B28" s="24"/>
      <c r="C28" s="25" t="str">
        <f aca="false">IF($A28="","",IFERROR(INDEX('ZIP Database'!$B:$B,MATCH(LEFT(TEXT($A28,"00000"),3),'ZIP Database'!$A:$A,0))&amp;", "&amp;INDEX('ZIP Database'!$C:$C,MATCH(LEFT(TEXT($A28,"00000"),3),'ZIP Database'!$A:$A,0)),"not found"))</f>
        <v/>
      </c>
      <c r="D28" s="25" t="str">
        <f aca="false">IF($B28="","",IFERROR(INDEX('ZIP Database'!$B:$B,MATCH(LEFT(TEXT($B28,"00000"),3),'ZIP Database'!$A:$A,0))&amp;", "&amp;INDEX('ZIP Database'!$C:$C,MATCH(LEFT(TEXT($B28,"00000"),3),'ZIP Database'!$A:$A,0)),"not found"))</f>
        <v/>
      </c>
      <c r="E28" s="26" t="str">
        <f aca="false">IF(OR($A28="",$B28=""),"",IFERROR(ROUND(3958.8*ACOS(MIN(1,SIN(RADIANS(INDEX('ZIP Database'!$D:$D,MATCH(LEFT(TEXT($A28,"00000"),3),'ZIP Database'!$A:$A,0))))*SIN(RADIANS(INDEX('ZIP Database'!$D:$D,MATCH(LEFT(TEXT($B28,"00000"),3),'ZIP Database'!$A:$A,0))))+COS(RADIANS(INDEX('ZIP Database'!$D:$D,MATCH(LEFT(TEXT($A28,"00000"),3),'ZIP Database'!$A:$A,0))))*COS(RADIANS(INDEX('ZIP Database'!$D:$D,MATCH(LEFT(TEXT($B28,"00000"),3),'ZIP Database'!$A:$A,0))))*COS(RADIANS(INDEX('ZIP Database'!$E:$E,MATCH(LEFT(TEXT($B28,"00000"),3),'ZIP Database'!$A:$A,0))-INDEX('ZIP Database'!$E:$E,MATCH(LEFT(TEXT($A28,"00000"),3),'ZIP Database'!$A:$A,0)))))),1),"not found"))</f>
        <v/>
      </c>
      <c r="F28" s="27" t="str">
        <f aca="false">IF(OR($E28="",$E28="not found"),"",ROUND($E28*'Quote Calculator'!$C$9,0))</f>
        <v/>
      </c>
      <c r="G28" s="28"/>
      <c r="H28" s="29"/>
      <c r="I28" s="28"/>
      <c r="J28" s="30" t="str">
        <f aca="false">IF($F28="","",MAX($F28*IF($G28="",'Quote Calculator'!$C$6,$G28)*(1+IF($H28="",'Quote Calculator'!$C$7,$H28)),IF($I28="",'Quote Calculator'!$C$8,$I28)))</f>
        <v/>
      </c>
    </row>
    <row r="29" customFormat="false" ht="15" hidden="false" customHeight="false" outlineLevel="0" collapsed="false">
      <c r="A29" s="24"/>
      <c r="B29" s="24"/>
      <c r="C29" s="25" t="str">
        <f aca="false">IF($A29="","",IFERROR(INDEX('ZIP Database'!$B:$B,MATCH(LEFT(TEXT($A29,"00000"),3),'ZIP Database'!$A:$A,0))&amp;", "&amp;INDEX('ZIP Database'!$C:$C,MATCH(LEFT(TEXT($A29,"00000"),3),'ZIP Database'!$A:$A,0)),"not found"))</f>
        <v/>
      </c>
      <c r="D29" s="25" t="str">
        <f aca="false">IF($B29="","",IFERROR(INDEX('ZIP Database'!$B:$B,MATCH(LEFT(TEXT($B29,"00000"),3),'ZIP Database'!$A:$A,0))&amp;", "&amp;INDEX('ZIP Database'!$C:$C,MATCH(LEFT(TEXT($B29,"00000"),3),'ZIP Database'!$A:$A,0)),"not found"))</f>
        <v/>
      </c>
      <c r="E29" s="26" t="str">
        <f aca="false">IF(OR($A29="",$B29=""),"",IFERROR(ROUND(3958.8*ACOS(MIN(1,SIN(RADIANS(INDEX('ZIP Database'!$D:$D,MATCH(LEFT(TEXT($A29,"00000"),3),'ZIP Database'!$A:$A,0))))*SIN(RADIANS(INDEX('ZIP Database'!$D:$D,MATCH(LEFT(TEXT($B29,"00000"),3),'ZIP Database'!$A:$A,0))))+COS(RADIANS(INDEX('ZIP Database'!$D:$D,MATCH(LEFT(TEXT($A29,"00000"),3),'ZIP Database'!$A:$A,0))))*COS(RADIANS(INDEX('ZIP Database'!$D:$D,MATCH(LEFT(TEXT($B29,"00000"),3),'ZIP Database'!$A:$A,0))))*COS(RADIANS(INDEX('ZIP Database'!$E:$E,MATCH(LEFT(TEXT($B29,"00000"),3),'ZIP Database'!$A:$A,0))-INDEX('ZIP Database'!$E:$E,MATCH(LEFT(TEXT($A29,"00000"),3),'ZIP Database'!$A:$A,0)))))),1),"not found"))</f>
        <v/>
      </c>
      <c r="F29" s="27" t="str">
        <f aca="false">IF(OR($E29="",$E29="not found"),"",ROUND($E29*'Quote Calculator'!$C$9,0))</f>
        <v/>
      </c>
      <c r="G29" s="28"/>
      <c r="H29" s="29"/>
      <c r="I29" s="28"/>
      <c r="J29" s="30" t="str">
        <f aca="false">IF($F29="","",MAX($F29*IF($G29="",'Quote Calculator'!$C$6,$G29)*(1+IF($H29="",'Quote Calculator'!$C$7,$H29)),IF($I29="",'Quote Calculator'!$C$8,$I29)))</f>
        <v/>
      </c>
    </row>
    <row r="30" customFormat="false" ht="15" hidden="false" customHeight="false" outlineLevel="0" collapsed="false">
      <c r="A30" s="24"/>
      <c r="B30" s="24"/>
      <c r="C30" s="25" t="str">
        <f aca="false">IF($A30="","",IFERROR(INDEX('ZIP Database'!$B:$B,MATCH(LEFT(TEXT($A30,"00000"),3),'ZIP Database'!$A:$A,0))&amp;", "&amp;INDEX('ZIP Database'!$C:$C,MATCH(LEFT(TEXT($A30,"00000"),3),'ZIP Database'!$A:$A,0)),"not found"))</f>
        <v/>
      </c>
      <c r="D30" s="25" t="str">
        <f aca="false">IF($B30="","",IFERROR(INDEX('ZIP Database'!$B:$B,MATCH(LEFT(TEXT($B30,"00000"),3),'ZIP Database'!$A:$A,0))&amp;", "&amp;INDEX('ZIP Database'!$C:$C,MATCH(LEFT(TEXT($B30,"00000"),3),'ZIP Database'!$A:$A,0)),"not found"))</f>
        <v/>
      </c>
      <c r="E30" s="26" t="str">
        <f aca="false">IF(OR($A30="",$B30=""),"",IFERROR(ROUND(3958.8*ACOS(MIN(1,SIN(RADIANS(INDEX('ZIP Database'!$D:$D,MATCH(LEFT(TEXT($A30,"00000"),3),'ZIP Database'!$A:$A,0))))*SIN(RADIANS(INDEX('ZIP Database'!$D:$D,MATCH(LEFT(TEXT($B30,"00000"),3),'ZIP Database'!$A:$A,0))))+COS(RADIANS(INDEX('ZIP Database'!$D:$D,MATCH(LEFT(TEXT($A30,"00000"),3),'ZIP Database'!$A:$A,0))))*COS(RADIANS(INDEX('ZIP Database'!$D:$D,MATCH(LEFT(TEXT($B30,"00000"),3),'ZIP Database'!$A:$A,0))))*COS(RADIANS(INDEX('ZIP Database'!$E:$E,MATCH(LEFT(TEXT($B30,"00000"),3),'ZIP Database'!$A:$A,0))-INDEX('ZIP Database'!$E:$E,MATCH(LEFT(TEXT($A30,"00000"),3),'ZIP Database'!$A:$A,0)))))),1),"not found"))</f>
        <v/>
      </c>
      <c r="F30" s="27" t="str">
        <f aca="false">IF(OR($E30="",$E30="not found"),"",ROUND($E30*'Quote Calculator'!$C$9,0))</f>
        <v/>
      </c>
      <c r="G30" s="28"/>
      <c r="H30" s="29"/>
      <c r="I30" s="28"/>
      <c r="J30" s="30" t="str">
        <f aca="false">IF($F30="","",MAX($F30*IF($G30="",'Quote Calculator'!$C$6,$G30)*(1+IF($H30="",'Quote Calculator'!$C$7,$H30)),IF($I30="",'Quote Calculator'!$C$8,$I30)))</f>
        <v/>
      </c>
    </row>
    <row r="31" customFormat="false" ht="15" hidden="false" customHeight="false" outlineLevel="0" collapsed="false">
      <c r="A31" s="24"/>
      <c r="B31" s="24"/>
      <c r="C31" s="25" t="str">
        <f aca="false">IF($A31="","",IFERROR(INDEX('ZIP Database'!$B:$B,MATCH(LEFT(TEXT($A31,"00000"),3),'ZIP Database'!$A:$A,0))&amp;", "&amp;INDEX('ZIP Database'!$C:$C,MATCH(LEFT(TEXT($A31,"00000"),3),'ZIP Database'!$A:$A,0)),"not found"))</f>
        <v/>
      </c>
      <c r="D31" s="25" t="str">
        <f aca="false">IF($B31="","",IFERROR(INDEX('ZIP Database'!$B:$B,MATCH(LEFT(TEXT($B31,"00000"),3),'ZIP Database'!$A:$A,0))&amp;", "&amp;INDEX('ZIP Database'!$C:$C,MATCH(LEFT(TEXT($B31,"00000"),3),'ZIP Database'!$A:$A,0)),"not found"))</f>
        <v/>
      </c>
      <c r="E31" s="26" t="str">
        <f aca="false">IF(OR($A31="",$B31=""),"",IFERROR(ROUND(3958.8*ACOS(MIN(1,SIN(RADIANS(INDEX('ZIP Database'!$D:$D,MATCH(LEFT(TEXT($A31,"00000"),3),'ZIP Database'!$A:$A,0))))*SIN(RADIANS(INDEX('ZIP Database'!$D:$D,MATCH(LEFT(TEXT($B31,"00000"),3),'ZIP Database'!$A:$A,0))))+COS(RADIANS(INDEX('ZIP Database'!$D:$D,MATCH(LEFT(TEXT($A31,"00000"),3),'ZIP Database'!$A:$A,0))))*COS(RADIANS(INDEX('ZIP Database'!$D:$D,MATCH(LEFT(TEXT($B31,"00000"),3),'ZIP Database'!$A:$A,0))))*COS(RADIANS(INDEX('ZIP Database'!$E:$E,MATCH(LEFT(TEXT($B31,"00000"),3),'ZIP Database'!$A:$A,0))-INDEX('ZIP Database'!$E:$E,MATCH(LEFT(TEXT($A31,"00000"),3),'ZIP Database'!$A:$A,0)))))),1),"not found"))</f>
        <v/>
      </c>
      <c r="F31" s="27" t="str">
        <f aca="false">IF(OR($E31="",$E31="not found"),"",ROUND($E31*'Quote Calculator'!$C$9,0))</f>
        <v/>
      </c>
      <c r="G31" s="28"/>
      <c r="H31" s="29"/>
      <c r="I31" s="28"/>
      <c r="J31" s="30" t="str">
        <f aca="false">IF($F31="","",MAX($F31*IF($G31="",'Quote Calculator'!$C$6,$G31)*(1+IF($H31="",'Quote Calculator'!$C$7,$H31)),IF($I31="",'Quote Calculator'!$C$8,$I31)))</f>
        <v/>
      </c>
    </row>
    <row r="32" customFormat="false" ht="15" hidden="false" customHeight="false" outlineLevel="0" collapsed="false">
      <c r="A32" s="24"/>
      <c r="B32" s="24"/>
      <c r="C32" s="25" t="str">
        <f aca="false">IF($A32="","",IFERROR(INDEX('ZIP Database'!$B:$B,MATCH(LEFT(TEXT($A32,"00000"),3),'ZIP Database'!$A:$A,0))&amp;", "&amp;INDEX('ZIP Database'!$C:$C,MATCH(LEFT(TEXT($A32,"00000"),3),'ZIP Database'!$A:$A,0)),"not found"))</f>
        <v/>
      </c>
      <c r="D32" s="25" t="str">
        <f aca="false">IF($B32="","",IFERROR(INDEX('ZIP Database'!$B:$B,MATCH(LEFT(TEXT($B32,"00000"),3),'ZIP Database'!$A:$A,0))&amp;", "&amp;INDEX('ZIP Database'!$C:$C,MATCH(LEFT(TEXT($B32,"00000"),3),'ZIP Database'!$A:$A,0)),"not found"))</f>
        <v/>
      </c>
      <c r="E32" s="26" t="str">
        <f aca="false">IF(OR($A32="",$B32=""),"",IFERROR(ROUND(3958.8*ACOS(MIN(1,SIN(RADIANS(INDEX('ZIP Database'!$D:$D,MATCH(LEFT(TEXT($A32,"00000"),3),'ZIP Database'!$A:$A,0))))*SIN(RADIANS(INDEX('ZIP Database'!$D:$D,MATCH(LEFT(TEXT($B32,"00000"),3),'ZIP Database'!$A:$A,0))))+COS(RADIANS(INDEX('ZIP Database'!$D:$D,MATCH(LEFT(TEXT($A32,"00000"),3),'ZIP Database'!$A:$A,0))))*COS(RADIANS(INDEX('ZIP Database'!$D:$D,MATCH(LEFT(TEXT($B32,"00000"),3),'ZIP Database'!$A:$A,0))))*COS(RADIANS(INDEX('ZIP Database'!$E:$E,MATCH(LEFT(TEXT($B32,"00000"),3),'ZIP Database'!$A:$A,0))-INDEX('ZIP Database'!$E:$E,MATCH(LEFT(TEXT($A32,"00000"),3),'ZIP Database'!$A:$A,0)))))),1),"not found"))</f>
        <v/>
      </c>
      <c r="F32" s="27" t="str">
        <f aca="false">IF(OR($E32="",$E32="not found"),"",ROUND($E32*'Quote Calculator'!$C$9,0))</f>
        <v/>
      </c>
      <c r="G32" s="28"/>
      <c r="H32" s="29"/>
      <c r="I32" s="28"/>
      <c r="J32" s="30" t="str">
        <f aca="false">IF($F32="","",MAX($F32*IF($G32="",'Quote Calculator'!$C$6,$G32)*(1+IF($H32="",'Quote Calculator'!$C$7,$H32)),IF($I32="",'Quote Calculator'!$C$8,$I32)))</f>
        <v/>
      </c>
    </row>
    <row r="33" customFormat="false" ht="15" hidden="false" customHeight="false" outlineLevel="0" collapsed="false">
      <c r="A33" s="24"/>
      <c r="B33" s="24"/>
      <c r="C33" s="25" t="str">
        <f aca="false">IF($A33="","",IFERROR(INDEX('ZIP Database'!$B:$B,MATCH(LEFT(TEXT($A33,"00000"),3),'ZIP Database'!$A:$A,0))&amp;", "&amp;INDEX('ZIP Database'!$C:$C,MATCH(LEFT(TEXT($A33,"00000"),3),'ZIP Database'!$A:$A,0)),"not found"))</f>
        <v/>
      </c>
      <c r="D33" s="25" t="str">
        <f aca="false">IF($B33="","",IFERROR(INDEX('ZIP Database'!$B:$B,MATCH(LEFT(TEXT($B33,"00000"),3),'ZIP Database'!$A:$A,0))&amp;", "&amp;INDEX('ZIP Database'!$C:$C,MATCH(LEFT(TEXT($B33,"00000"),3),'ZIP Database'!$A:$A,0)),"not found"))</f>
        <v/>
      </c>
      <c r="E33" s="26" t="str">
        <f aca="false">IF(OR($A33="",$B33=""),"",IFERROR(ROUND(3958.8*ACOS(MIN(1,SIN(RADIANS(INDEX('ZIP Database'!$D:$D,MATCH(LEFT(TEXT($A33,"00000"),3),'ZIP Database'!$A:$A,0))))*SIN(RADIANS(INDEX('ZIP Database'!$D:$D,MATCH(LEFT(TEXT($B33,"00000"),3),'ZIP Database'!$A:$A,0))))+COS(RADIANS(INDEX('ZIP Database'!$D:$D,MATCH(LEFT(TEXT($A33,"00000"),3),'ZIP Database'!$A:$A,0))))*COS(RADIANS(INDEX('ZIP Database'!$D:$D,MATCH(LEFT(TEXT($B33,"00000"),3),'ZIP Database'!$A:$A,0))))*COS(RADIANS(INDEX('ZIP Database'!$E:$E,MATCH(LEFT(TEXT($B33,"00000"),3),'ZIP Database'!$A:$A,0))-INDEX('ZIP Database'!$E:$E,MATCH(LEFT(TEXT($A33,"00000"),3),'ZIP Database'!$A:$A,0)))))),1),"not found"))</f>
        <v/>
      </c>
      <c r="F33" s="27" t="str">
        <f aca="false">IF(OR($E33="",$E33="not found"),"",ROUND($E33*'Quote Calculator'!$C$9,0))</f>
        <v/>
      </c>
      <c r="G33" s="28"/>
      <c r="H33" s="29"/>
      <c r="I33" s="28"/>
      <c r="J33" s="30" t="str">
        <f aca="false">IF($F33="","",MAX($F33*IF($G33="",'Quote Calculator'!$C$6,$G33)*(1+IF($H33="",'Quote Calculator'!$C$7,$H33)),IF($I33="",'Quote Calculator'!$C$8,$I33)))</f>
        <v/>
      </c>
    </row>
    <row r="34" customFormat="false" ht="15" hidden="false" customHeight="false" outlineLevel="0" collapsed="false">
      <c r="A34" s="24"/>
      <c r="B34" s="24"/>
      <c r="C34" s="25" t="str">
        <f aca="false">IF($A34="","",IFERROR(INDEX('ZIP Database'!$B:$B,MATCH(LEFT(TEXT($A34,"00000"),3),'ZIP Database'!$A:$A,0))&amp;", "&amp;INDEX('ZIP Database'!$C:$C,MATCH(LEFT(TEXT($A34,"00000"),3),'ZIP Database'!$A:$A,0)),"not found"))</f>
        <v/>
      </c>
      <c r="D34" s="25" t="str">
        <f aca="false">IF($B34="","",IFERROR(INDEX('ZIP Database'!$B:$B,MATCH(LEFT(TEXT($B34,"00000"),3),'ZIP Database'!$A:$A,0))&amp;", "&amp;INDEX('ZIP Database'!$C:$C,MATCH(LEFT(TEXT($B34,"00000"),3),'ZIP Database'!$A:$A,0)),"not found"))</f>
        <v/>
      </c>
      <c r="E34" s="26" t="str">
        <f aca="false">IF(OR($A34="",$B34=""),"",IFERROR(ROUND(3958.8*ACOS(MIN(1,SIN(RADIANS(INDEX('ZIP Database'!$D:$D,MATCH(LEFT(TEXT($A34,"00000"),3),'ZIP Database'!$A:$A,0))))*SIN(RADIANS(INDEX('ZIP Database'!$D:$D,MATCH(LEFT(TEXT($B34,"00000"),3),'ZIP Database'!$A:$A,0))))+COS(RADIANS(INDEX('ZIP Database'!$D:$D,MATCH(LEFT(TEXT($A34,"00000"),3),'ZIP Database'!$A:$A,0))))*COS(RADIANS(INDEX('ZIP Database'!$D:$D,MATCH(LEFT(TEXT($B34,"00000"),3),'ZIP Database'!$A:$A,0))))*COS(RADIANS(INDEX('ZIP Database'!$E:$E,MATCH(LEFT(TEXT($B34,"00000"),3),'ZIP Database'!$A:$A,0))-INDEX('ZIP Database'!$E:$E,MATCH(LEFT(TEXT($A34,"00000"),3),'ZIP Database'!$A:$A,0)))))),1),"not found"))</f>
        <v/>
      </c>
      <c r="F34" s="27" t="str">
        <f aca="false">IF(OR($E34="",$E34="not found"),"",ROUND($E34*'Quote Calculator'!$C$9,0))</f>
        <v/>
      </c>
      <c r="G34" s="28"/>
      <c r="H34" s="29"/>
      <c r="I34" s="28"/>
      <c r="J34" s="30" t="str">
        <f aca="false">IF($F34="","",MAX($F34*IF($G34="",'Quote Calculator'!$C$6,$G34)*(1+IF($H34="",'Quote Calculator'!$C$7,$H34)),IF($I34="",'Quote Calculator'!$C$8,$I34)))</f>
        <v/>
      </c>
    </row>
    <row r="35" customFormat="false" ht="15" hidden="false" customHeight="false" outlineLevel="0" collapsed="false">
      <c r="A35" s="24"/>
      <c r="B35" s="24"/>
      <c r="C35" s="25" t="str">
        <f aca="false">IF($A35="","",IFERROR(INDEX('ZIP Database'!$B:$B,MATCH(LEFT(TEXT($A35,"00000"),3),'ZIP Database'!$A:$A,0))&amp;", "&amp;INDEX('ZIP Database'!$C:$C,MATCH(LEFT(TEXT($A35,"00000"),3),'ZIP Database'!$A:$A,0)),"not found"))</f>
        <v/>
      </c>
      <c r="D35" s="25" t="str">
        <f aca="false">IF($B35="","",IFERROR(INDEX('ZIP Database'!$B:$B,MATCH(LEFT(TEXT($B35,"00000"),3),'ZIP Database'!$A:$A,0))&amp;", "&amp;INDEX('ZIP Database'!$C:$C,MATCH(LEFT(TEXT($B35,"00000"),3),'ZIP Database'!$A:$A,0)),"not found"))</f>
        <v/>
      </c>
      <c r="E35" s="26" t="str">
        <f aca="false">IF(OR($A35="",$B35=""),"",IFERROR(ROUND(3958.8*ACOS(MIN(1,SIN(RADIANS(INDEX('ZIP Database'!$D:$D,MATCH(LEFT(TEXT($A35,"00000"),3),'ZIP Database'!$A:$A,0))))*SIN(RADIANS(INDEX('ZIP Database'!$D:$D,MATCH(LEFT(TEXT($B35,"00000"),3),'ZIP Database'!$A:$A,0))))+COS(RADIANS(INDEX('ZIP Database'!$D:$D,MATCH(LEFT(TEXT($A35,"00000"),3),'ZIP Database'!$A:$A,0))))*COS(RADIANS(INDEX('ZIP Database'!$D:$D,MATCH(LEFT(TEXT($B35,"00000"),3),'ZIP Database'!$A:$A,0))))*COS(RADIANS(INDEX('ZIP Database'!$E:$E,MATCH(LEFT(TEXT($B35,"00000"),3),'ZIP Database'!$A:$A,0))-INDEX('ZIP Database'!$E:$E,MATCH(LEFT(TEXT($A35,"00000"),3),'ZIP Database'!$A:$A,0)))))),1),"not found"))</f>
        <v/>
      </c>
      <c r="F35" s="27" t="str">
        <f aca="false">IF(OR($E35="",$E35="not found"),"",ROUND($E35*'Quote Calculator'!$C$9,0))</f>
        <v/>
      </c>
      <c r="G35" s="28"/>
      <c r="H35" s="29"/>
      <c r="I35" s="28"/>
      <c r="J35" s="30" t="str">
        <f aca="false">IF($F35="","",MAX($F35*IF($G35="",'Quote Calculator'!$C$6,$G35)*(1+IF($H35="",'Quote Calculator'!$C$7,$H35)),IF($I35="",'Quote Calculator'!$C$8,$I35)))</f>
        <v/>
      </c>
    </row>
    <row r="36" customFormat="false" ht="15" hidden="false" customHeight="false" outlineLevel="0" collapsed="false">
      <c r="A36" s="24"/>
      <c r="B36" s="24"/>
      <c r="C36" s="25" t="str">
        <f aca="false">IF($A36="","",IFERROR(INDEX('ZIP Database'!$B:$B,MATCH(LEFT(TEXT($A36,"00000"),3),'ZIP Database'!$A:$A,0))&amp;", "&amp;INDEX('ZIP Database'!$C:$C,MATCH(LEFT(TEXT($A36,"00000"),3),'ZIP Database'!$A:$A,0)),"not found"))</f>
        <v/>
      </c>
      <c r="D36" s="25" t="str">
        <f aca="false">IF($B36="","",IFERROR(INDEX('ZIP Database'!$B:$B,MATCH(LEFT(TEXT($B36,"00000"),3),'ZIP Database'!$A:$A,0))&amp;", "&amp;INDEX('ZIP Database'!$C:$C,MATCH(LEFT(TEXT($B36,"00000"),3),'ZIP Database'!$A:$A,0)),"not found"))</f>
        <v/>
      </c>
      <c r="E36" s="26" t="str">
        <f aca="false">IF(OR($A36="",$B36=""),"",IFERROR(ROUND(3958.8*ACOS(MIN(1,SIN(RADIANS(INDEX('ZIP Database'!$D:$D,MATCH(LEFT(TEXT($A36,"00000"),3),'ZIP Database'!$A:$A,0))))*SIN(RADIANS(INDEX('ZIP Database'!$D:$D,MATCH(LEFT(TEXT($B36,"00000"),3),'ZIP Database'!$A:$A,0))))+COS(RADIANS(INDEX('ZIP Database'!$D:$D,MATCH(LEFT(TEXT($A36,"00000"),3),'ZIP Database'!$A:$A,0))))*COS(RADIANS(INDEX('ZIP Database'!$D:$D,MATCH(LEFT(TEXT($B36,"00000"),3),'ZIP Database'!$A:$A,0))))*COS(RADIANS(INDEX('ZIP Database'!$E:$E,MATCH(LEFT(TEXT($B36,"00000"),3),'ZIP Database'!$A:$A,0))-INDEX('ZIP Database'!$E:$E,MATCH(LEFT(TEXT($A36,"00000"),3),'ZIP Database'!$A:$A,0)))))),1),"not found"))</f>
        <v/>
      </c>
      <c r="F36" s="27" t="str">
        <f aca="false">IF(OR($E36="",$E36="not found"),"",ROUND($E36*'Quote Calculator'!$C$9,0))</f>
        <v/>
      </c>
      <c r="G36" s="28"/>
      <c r="H36" s="29"/>
      <c r="I36" s="28"/>
      <c r="J36" s="30" t="str">
        <f aca="false">IF($F36="","",MAX($F36*IF($G36="",'Quote Calculator'!$C$6,$G36)*(1+IF($H36="",'Quote Calculator'!$C$7,$H36)),IF($I36="",'Quote Calculator'!$C$8,$I36)))</f>
        <v/>
      </c>
    </row>
    <row r="37" customFormat="false" ht="15" hidden="false" customHeight="false" outlineLevel="0" collapsed="false">
      <c r="A37" s="24"/>
      <c r="B37" s="24"/>
      <c r="C37" s="25" t="str">
        <f aca="false">IF($A37="","",IFERROR(INDEX('ZIP Database'!$B:$B,MATCH(LEFT(TEXT($A37,"00000"),3),'ZIP Database'!$A:$A,0))&amp;", "&amp;INDEX('ZIP Database'!$C:$C,MATCH(LEFT(TEXT($A37,"00000"),3),'ZIP Database'!$A:$A,0)),"not found"))</f>
        <v/>
      </c>
      <c r="D37" s="25" t="str">
        <f aca="false">IF($B37="","",IFERROR(INDEX('ZIP Database'!$B:$B,MATCH(LEFT(TEXT($B37,"00000"),3),'ZIP Database'!$A:$A,0))&amp;", "&amp;INDEX('ZIP Database'!$C:$C,MATCH(LEFT(TEXT($B37,"00000"),3),'ZIP Database'!$A:$A,0)),"not found"))</f>
        <v/>
      </c>
      <c r="E37" s="26" t="str">
        <f aca="false">IF(OR($A37="",$B37=""),"",IFERROR(ROUND(3958.8*ACOS(MIN(1,SIN(RADIANS(INDEX('ZIP Database'!$D:$D,MATCH(LEFT(TEXT($A37,"00000"),3),'ZIP Database'!$A:$A,0))))*SIN(RADIANS(INDEX('ZIP Database'!$D:$D,MATCH(LEFT(TEXT($B37,"00000"),3),'ZIP Database'!$A:$A,0))))+COS(RADIANS(INDEX('ZIP Database'!$D:$D,MATCH(LEFT(TEXT($A37,"00000"),3),'ZIP Database'!$A:$A,0))))*COS(RADIANS(INDEX('ZIP Database'!$D:$D,MATCH(LEFT(TEXT($B37,"00000"),3),'ZIP Database'!$A:$A,0))))*COS(RADIANS(INDEX('ZIP Database'!$E:$E,MATCH(LEFT(TEXT($B37,"00000"),3),'ZIP Database'!$A:$A,0))-INDEX('ZIP Database'!$E:$E,MATCH(LEFT(TEXT($A37,"00000"),3),'ZIP Database'!$A:$A,0)))))),1),"not found"))</f>
        <v/>
      </c>
      <c r="F37" s="27" t="str">
        <f aca="false">IF(OR($E37="",$E37="not found"),"",ROUND($E37*'Quote Calculator'!$C$9,0))</f>
        <v/>
      </c>
      <c r="G37" s="28"/>
      <c r="H37" s="29"/>
      <c r="I37" s="28"/>
      <c r="J37" s="30" t="str">
        <f aca="false">IF($F37="","",MAX($F37*IF($G37="",'Quote Calculator'!$C$6,$G37)*(1+IF($H37="",'Quote Calculator'!$C$7,$H37)),IF($I37="",'Quote Calculator'!$C$8,$I37)))</f>
        <v/>
      </c>
    </row>
    <row r="38" customFormat="false" ht="15" hidden="false" customHeight="false" outlineLevel="0" collapsed="false">
      <c r="A38" s="24"/>
      <c r="B38" s="24"/>
      <c r="C38" s="25" t="str">
        <f aca="false">IF($A38="","",IFERROR(INDEX('ZIP Database'!$B:$B,MATCH(LEFT(TEXT($A38,"00000"),3),'ZIP Database'!$A:$A,0))&amp;", "&amp;INDEX('ZIP Database'!$C:$C,MATCH(LEFT(TEXT($A38,"00000"),3),'ZIP Database'!$A:$A,0)),"not found"))</f>
        <v/>
      </c>
      <c r="D38" s="25" t="str">
        <f aca="false">IF($B38="","",IFERROR(INDEX('ZIP Database'!$B:$B,MATCH(LEFT(TEXT($B38,"00000"),3),'ZIP Database'!$A:$A,0))&amp;", "&amp;INDEX('ZIP Database'!$C:$C,MATCH(LEFT(TEXT($B38,"00000"),3),'ZIP Database'!$A:$A,0)),"not found"))</f>
        <v/>
      </c>
      <c r="E38" s="26" t="str">
        <f aca="false">IF(OR($A38="",$B38=""),"",IFERROR(ROUND(3958.8*ACOS(MIN(1,SIN(RADIANS(INDEX('ZIP Database'!$D:$D,MATCH(LEFT(TEXT($A38,"00000"),3),'ZIP Database'!$A:$A,0))))*SIN(RADIANS(INDEX('ZIP Database'!$D:$D,MATCH(LEFT(TEXT($B38,"00000"),3),'ZIP Database'!$A:$A,0))))+COS(RADIANS(INDEX('ZIP Database'!$D:$D,MATCH(LEFT(TEXT($A38,"00000"),3),'ZIP Database'!$A:$A,0))))*COS(RADIANS(INDEX('ZIP Database'!$D:$D,MATCH(LEFT(TEXT($B38,"00000"),3),'ZIP Database'!$A:$A,0))))*COS(RADIANS(INDEX('ZIP Database'!$E:$E,MATCH(LEFT(TEXT($B38,"00000"),3),'ZIP Database'!$A:$A,0))-INDEX('ZIP Database'!$E:$E,MATCH(LEFT(TEXT($A38,"00000"),3),'ZIP Database'!$A:$A,0)))))),1),"not found"))</f>
        <v/>
      </c>
      <c r="F38" s="27" t="str">
        <f aca="false">IF(OR($E38="",$E38="not found"),"",ROUND($E38*'Quote Calculator'!$C$9,0))</f>
        <v/>
      </c>
      <c r="G38" s="28"/>
      <c r="H38" s="29"/>
      <c r="I38" s="28"/>
      <c r="J38" s="30" t="str">
        <f aca="false">IF($F38="","",MAX($F38*IF($G38="",'Quote Calculator'!$C$6,$G38)*(1+IF($H38="",'Quote Calculator'!$C$7,$H38)),IF($I38="",'Quote Calculator'!$C$8,$I38)))</f>
        <v/>
      </c>
    </row>
    <row r="39" customFormat="false" ht="15" hidden="false" customHeight="false" outlineLevel="0" collapsed="false">
      <c r="A39" s="24"/>
      <c r="B39" s="24"/>
      <c r="C39" s="25" t="str">
        <f aca="false">IF($A39="","",IFERROR(INDEX('ZIP Database'!$B:$B,MATCH(LEFT(TEXT($A39,"00000"),3),'ZIP Database'!$A:$A,0))&amp;", "&amp;INDEX('ZIP Database'!$C:$C,MATCH(LEFT(TEXT($A39,"00000"),3),'ZIP Database'!$A:$A,0)),"not found"))</f>
        <v/>
      </c>
      <c r="D39" s="25" t="str">
        <f aca="false">IF($B39="","",IFERROR(INDEX('ZIP Database'!$B:$B,MATCH(LEFT(TEXT($B39,"00000"),3),'ZIP Database'!$A:$A,0))&amp;", "&amp;INDEX('ZIP Database'!$C:$C,MATCH(LEFT(TEXT($B39,"00000"),3),'ZIP Database'!$A:$A,0)),"not found"))</f>
        <v/>
      </c>
      <c r="E39" s="26" t="str">
        <f aca="false">IF(OR($A39="",$B39=""),"",IFERROR(ROUND(3958.8*ACOS(MIN(1,SIN(RADIANS(INDEX('ZIP Database'!$D:$D,MATCH(LEFT(TEXT($A39,"00000"),3),'ZIP Database'!$A:$A,0))))*SIN(RADIANS(INDEX('ZIP Database'!$D:$D,MATCH(LEFT(TEXT($B39,"00000"),3),'ZIP Database'!$A:$A,0))))+COS(RADIANS(INDEX('ZIP Database'!$D:$D,MATCH(LEFT(TEXT($A39,"00000"),3),'ZIP Database'!$A:$A,0))))*COS(RADIANS(INDEX('ZIP Database'!$D:$D,MATCH(LEFT(TEXT($B39,"00000"),3),'ZIP Database'!$A:$A,0))))*COS(RADIANS(INDEX('ZIP Database'!$E:$E,MATCH(LEFT(TEXT($B39,"00000"),3),'ZIP Database'!$A:$A,0))-INDEX('ZIP Database'!$E:$E,MATCH(LEFT(TEXT($A39,"00000"),3),'ZIP Database'!$A:$A,0)))))),1),"not found"))</f>
        <v/>
      </c>
      <c r="F39" s="27" t="str">
        <f aca="false">IF(OR($E39="",$E39="not found"),"",ROUND($E39*'Quote Calculator'!$C$9,0))</f>
        <v/>
      </c>
      <c r="G39" s="28"/>
      <c r="H39" s="29"/>
      <c r="I39" s="28"/>
      <c r="J39" s="30" t="str">
        <f aca="false">IF($F39="","",MAX($F39*IF($G39="",'Quote Calculator'!$C$6,$G39)*(1+IF($H39="",'Quote Calculator'!$C$7,$H39)),IF($I39="",'Quote Calculator'!$C$8,$I39)))</f>
        <v/>
      </c>
    </row>
    <row r="40" customFormat="false" ht="15" hidden="false" customHeight="false" outlineLevel="0" collapsed="false">
      <c r="A40" s="24"/>
      <c r="B40" s="24"/>
      <c r="C40" s="25" t="str">
        <f aca="false">IF($A40="","",IFERROR(INDEX('ZIP Database'!$B:$B,MATCH(LEFT(TEXT($A40,"00000"),3),'ZIP Database'!$A:$A,0))&amp;", "&amp;INDEX('ZIP Database'!$C:$C,MATCH(LEFT(TEXT($A40,"00000"),3),'ZIP Database'!$A:$A,0)),"not found"))</f>
        <v/>
      </c>
      <c r="D40" s="25" t="str">
        <f aca="false">IF($B40="","",IFERROR(INDEX('ZIP Database'!$B:$B,MATCH(LEFT(TEXT($B40,"00000"),3),'ZIP Database'!$A:$A,0))&amp;", "&amp;INDEX('ZIP Database'!$C:$C,MATCH(LEFT(TEXT($B40,"00000"),3),'ZIP Database'!$A:$A,0)),"not found"))</f>
        <v/>
      </c>
      <c r="E40" s="26" t="str">
        <f aca="false">IF(OR($A40="",$B40=""),"",IFERROR(ROUND(3958.8*ACOS(MIN(1,SIN(RADIANS(INDEX('ZIP Database'!$D:$D,MATCH(LEFT(TEXT($A40,"00000"),3),'ZIP Database'!$A:$A,0))))*SIN(RADIANS(INDEX('ZIP Database'!$D:$D,MATCH(LEFT(TEXT($B40,"00000"),3),'ZIP Database'!$A:$A,0))))+COS(RADIANS(INDEX('ZIP Database'!$D:$D,MATCH(LEFT(TEXT($A40,"00000"),3),'ZIP Database'!$A:$A,0))))*COS(RADIANS(INDEX('ZIP Database'!$D:$D,MATCH(LEFT(TEXT($B40,"00000"),3),'ZIP Database'!$A:$A,0))))*COS(RADIANS(INDEX('ZIP Database'!$E:$E,MATCH(LEFT(TEXT($B40,"00000"),3),'ZIP Database'!$A:$A,0))-INDEX('ZIP Database'!$E:$E,MATCH(LEFT(TEXT($A40,"00000"),3),'ZIP Database'!$A:$A,0)))))),1),"not found"))</f>
        <v/>
      </c>
      <c r="F40" s="27" t="str">
        <f aca="false">IF(OR($E40="",$E40="not found"),"",ROUND($E40*'Quote Calculator'!$C$9,0))</f>
        <v/>
      </c>
      <c r="G40" s="28"/>
      <c r="H40" s="29"/>
      <c r="I40" s="28"/>
      <c r="J40" s="30" t="str">
        <f aca="false">IF($F40="","",MAX($F40*IF($G40="",'Quote Calculator'!$C$6,$G40)*(1+IF($H40="",'Quote Calculator'!$C$7,$H40)),IF($I40="",'Quote Calculator'!$C$8,$I40)))</f>
        <v/>
      </c>
    </row>
    <row r="41" customFormat="false" ht="15" hidden="false" customHeight="false" outlineLevel="0" collapsed="false">
      <c r="A41" s="24"/>
      <c r="B41" s="24"/>
      <c r="C41" s="25" t="str">
        <f aca="false">IF($A41="","",IFERROR(INDEX('ZIP Database'!$B:$B,MATCH(LEFT(TEXT($A41,"00000"),3),'ZIP Database'!$A:$A,0))&amp;", "&amp;INDEX('ZIP Database'!$C:$C,MATCH(LEFT(TEXT($A41,"00000"),3),'ZIP Database'!$A:$A,0)),"not found"))</f>
        <v/>
      </c>
      <c r="D41" s="25" t="str">
        <f aca="false">IF($B41="","",IFERROR(INDEX('ZIP Database'!$B:$B,MATCH(LEFT(TEXT($B41,"00000"),3),'ZIP Database'!$A:$A,0))&amp;", "&amp;INDEX('ZIP Database'!$C:$C,MATCH(LEFT(TEXT($B41,"00000"),3),'ZIP Database'!$A:$A,0)),"not found"))</f>
        <v/>
      </c>
      <c r="E41" s="26" t="str">
        <f aca="false">IF(OR($A41="",$B41=""),"",IFERROR(ROUND(3958.8*ACOS(MIN(1,SIN(RADIANS(INDEX('ZIP Database'!$D:$D,MATCH(LEFT(TEXT($A41,"00000"),3),'ZIP Database'!$A:$A,0))))*SIN(RADIANS(INDEX('ZIP Database'!$D:$D,MATCH(LEFT(TEXT($B41,"00000"),3),'ZIP Database'!$A:$A,0))))+COS(RADIANS(INDEX('ZIP Database'!$D:$D,MATCH(LEFT(TEXT($A41,"00000"),3),'ZIP Database'!$A:$A,0))))*COS(RADIANS(INDEX('ZIP Database'!$D:$D,MATCH(LEFT(TEXT($B41,"00000"),3),'ZIP Database'!$A:$A,0))))*COS(RADIANS(INDEX('ZIP Database'!$E:$E,MATCH(LEFT(TEXT($B41,"00000"),3),'ZIP Database'!$A:$A,0))-INDEX('ZIP Database'!$E:$E,MATCH(LEFT(TEXT($A41,"00000"),3),'ZIP Database'!$A:$A,0)))))),1),"not found"))</f>
        <v/>
      </c>
      <c r="F41" s="27" t="str">
        <f aca="false">IF(OR($E41="",$E41="not found"),"",ROUND($E41*'Quote Calculator'!$C$9,0))</f>
        <v/>
      </c>
      <c r="G41" s="28"/>
      <c r="H41" s="29"/>
      <c r="I41" s="28"/>
      <c r="J41" s="30" t="str">
        <f aca="false">IF($F41="","",MAX($F41*IF($G41="",'Quote Calculator'!$C$6,$G41)*(1+IF($H41="",'Quote Calculator'!$C$7,$H41)),IF($I41="",'Quote Calculator'!$C$8,$I41)))</f>
        <v/>
      </c>
    </row>
    <row r="42" customFormat="false" ht="15" hidden="false" customHeight="false" outlineLevel="0" collapsed="false">
      <c r="A42" s="24"/>
      <c r="B42" s="24"/>
      <c r="C42" s="25" t="str">
        <f aca="false">IF($A42="","",IFERROR(INDEX('ZIP Database'!$B:$B,MATCH(LEFT(TEXT($A42,"00000"),3),'ZIP Database'!$A:$A,0))&amp;", "&amp;INDEX('ZIP Database'!$C:$C,MATCH(LEFT(TEXT($A42,"00000"),3),'ZIP Database'!$A:$A,0)),"not found"))</f>
        <v/>
      </c>
      <c r="D42" s="25" t="str">
        <f aca="false">IF($B42="","",IFERROR(INDEX('ZIP Database'!$B:$B,MATCH(LEFT(TEXT($B42,"00000"),3),'ZIP Database'!$A:$A,0))&amp;", "&amp;INDEX('ZIP Database'!$C:$C,MATCH(LEFT(TEXT($B42,"00000"),3),'ZIP Database'!$A:$A,0)),"not found"))</f>
        <v/>
      </c>
      <c r="E42" s="26" t="str">
        <f aca="false">IF(OR($A42="",$B42=""),"",IFERROR(ROUND(3958.8*ACOS(MIN(1,SIN(RADIANS(INDEX('ZIP Database'!$D:$D,MATCH(LEFT(TEXT($A42,"00000"),3),'ZIP Database'!$A:$A,0))))*SIN(RADIANS(INDEX('ZIP Database'!$D:$D,MATCH(LEFT(TEXT($B42,"00000"),3),'ZIP Database'!$A:$A,0))))+COS(RADIANS(INDEX('ZIP Database'!$D:$D,MATCH(LEFT(TEXT($A42,"00000"),3),'ZIP Database'!$A:$A,0))))*COS(RADIANS(INDEX('ZIP Database'!$D:$D,MATCH(LEFT(TEXT($B42,"00000"),3),'ZIP Database'!$A:$A,0))))*COS(RADIANS(INDEX('ZIP Database'!$E:$E,MATCH(LEFT(TEXT($B42,"00000"),3),'ZIP Database'!$A:$A,0))-INDEX('ZIP Database'!$E:$E,MATCH(LEFT(TEXT($A42,"00000"),3),'ZIP Database'!$A:$A,0)))))),1),"not found"))</f>
        <v/>
      </c>
      <c r="F42" s="27" t="str">
        <f aca="false">IF(OR($E42="",$E42="not found"),"",ROUND($E42*'Quote Calculator'!$C$9,0))</f>
        <v/>
      </c>
      <c r="G42" s="28"/>
      <c r="H42" s="29"/>
      <c r="I42" s="28"/>
      <c r="J42" s="30" t="str">
        <f aca="false">IF($F42="","",MAX($F42*IF($G42="",'Quote Calculator'!$C$6,$G42)*(1+IF($H42="",'Quote Calculator'!$C$7,$H42)),IF($I42="",'Quote Calculator'!$C$8,$I42)))</f>
        <v/>
      </c>
    </row>
    <row r="43" customFormat="false" ht="15" hidden="false" customHeight="false" outlineLevel="0" collapsed="false">
      <c r="A43" s="24"/>
      <c r="B43" s="24"/>
      <c r="C43" s="25" t="str">
        <f aca="false">IF($A43="","",IFERROR(INDEX('ZIP Database'!$B:$B,MATCH(LEFT(TEXT($A43,"00000"),3),'ZIP Database'!$A:$A,0))&amp;", "&amp;INDEX('ZIP Database'!$C:$C,MATCH(LEFT(TEXT($A43,"00000"),3),'ZIP Database'!$A:$A,0)),"not found"))</f>
        <v/>
      </c>
      <c r="D43" s="25" t="str">
        <f aca="false">IF($B43="","",IFERROR(INDEX('ZIP Database'!$B:$B,MATCH(LEFT(TEXT($B43,"00000"),3),'ZIP Database'!$A:$A,0))&amp;", "&amp;INDEX('ZIP Database'!$C:$C,MATCH(LEFT(TEXT($B43,"00000"),3),'ZIP Database'!$A:$A,0)),"not found"))</f>
        <v/>
      </c>
      <c r="E43" s="26" t="str">
        <f aca="false">IF(OR($A43="",$B43=""),"",IFERROR(ROUND(3958.8*ACOS(MIN(1,SIN(RADIANS(INDEX('ZIP Database'!$D:$D,MATCH(LEFT(TEXT($A43,"00000"),3),'ZIP Database'!$A:$A,0))))*SIN(RADIANS(INDEX('ZIP Database'!$D:$D,MATCH(LEFT(TEXT($B43,"00000"),3),'ZIP Database'!$A:$A,0))))+COS(RADIANS(INDEX('ZIP Database'!$D:$D,MATCH(LEFT(TEXT($A43,"00000"),3),'ZIP Database'!$A:$A,0))))*COS(RADIANS(INDEX('ZIP Database'!$D:$D,MATCH(LEFT(TEXT($B43,"00000"),3),'ZIP Database'!$A:$A,0))))*COS(RADIANS(INDEX('ZIP Database'!$E:$E,MATCH(LEFT(TEXT($B43,"00000"),3),'ZIP Database'!$A:$A,0))-INDEX('ZIP Database'!$E:$E,MATCH(LEFT(TEXT($A43,"00000"),3),'ZIP Database'!$A:$A,0)))))),1),"not found"))</f>
        <v/>
      </c>
      <c r="F43" s="27" t="str">
        <f aca="false">IF(OR($E43="",$E43="not found"),"",ROUND($E43*'Quote Calculator'!$C$9,0))</f>
        <v/>
      </c>
      <c r="G43" s="28"/>
      <c r="H43" s="29"/>
      <c r="I43" s="28"/>
      <c r="J43" s="30" t="str">
        <f aca="false">IF($F43="","",MAX($F43*IF($G43="",'Quote Calculator'!$C$6,$G43)*(1+IF($H43="",'Quote Calculator'!$C$7,$H43)),IF($I43="",'Quote Calculator'!$C$8,$I43)))</f>
        <v/>
      </c>
    </row>
    <row r="44" customFormat="false" ht="15" hidden="false" customHeight="false" outlineLevel="0" collapsed="false">
      <c r="A44" s="24"/>
      <c r="B44" s="24"/>
      <c r="C44" s="25" t="str">
        <f aca="false">IF($A44="","",IFERROR(INDEX('ZIP Database'!$B:$B,MATCH(LEFT(TEXT($A44,"00000"),3),'ZIP Database'!$A:$A,0))&amp;", "&amp;INDEX('ZIP Database'!$C:$C,MATCH(LEFT(TEXT($A44,"00000"),3),'ZIP Database'!$A:$A,0)),"not found"))</f>
        <v/>
      </c>
      <c r="D44" s="25" t="str">
        <f aca="false">IF($B44="","",IFERROR(INDEX('ZIP Database'!$B:$B,MATCH(LEFT(TEXT($B44,"00000"),3),'ZIP Database'!$A:$A,0))&amp;", "&amp;INDEX('ZIP Database'!$C:$C,MATCH(LEFT(TEXT($B44,"00000"),3),'ZIP Database'!$A:$A,0)),"not found"))</f>
        <v/>
      </c>
      <c r="E44" s="26" t="str">
        <f aca="false">IF(OR($A44="",$B44=""),"",IFERROR(ROUND(3958.8*ACOS(MIN(1,SIN(RADIANS(INDEX('ZIP Database'!$D:$D,MATCH(LEFT(TEXT($A44,"00000"),3),'ZIP Database'!$A:$A,0))))*SIN(RADIANS(INDEX('ZIP Database'!$D:$D,MATCH(LEFT(TEXT($B44,"00000"),3),'ZIP Database'!$A:$A,0))))+COS(RADIANS(INDEX('ZIP Database'!$D:$D,MATCH(LEFT(TEXT($A44,"00000"),3),'ZIP Database'!$A:$A,0))))*COS(RADIANS(INDEX('ZIP Database'!$D:$D,MATCH(LEFT(TEXT($B44,"00000"),3),'ZIP Database'!$A:$A,0))))*COS(RADIANS(INDEX('ZIP Database'!$E:$E,MATCH(LEFT(TEXT($B44,"00000"),3),'ZIP Database'!$A:$A,0))-INDEX('ZIP Database'!$E:$E,MATCH(LEFT(TEXT($A44,"00000"),3),'ZIP Database'!$A:$A,0)))))),1),"not found"))</f>
        <v/>
      </c>
      <c r="F44" s="27" t="str">
        <f aca="false">IF(OR($E44="",$E44="not found"),"",ROUND($E44*'Quote Calculator'!$C$9,0))</f>
        <v/>
      </c>
      <c r="G44" s="28"/>
      <c r="H44" s="29"/>
      <c r="I44" s="28"/>
      <c r="J44" s="30" t="str">
        <f aca="false">IF($F44="","",MAX($F44*IF($G44="",'Quote Calculator'!$C$6,$G44)*(1+IF($H44="",'Quote Calculator'!$C$7,$H44)),IF($I44="",'Quote Calculator'!$C$8,$I44)))</f>
        <v/>
      </c>
    </row>
    <row r="45" customFormat="false" ht="15" hidden="false" customHeight="false" outlineLevel="0" collapsed="false">
      <c r="A45" s="24"/>
      <c r="B45" s="24"/>
      <c r="C45" s="25" t="str">
        <f aca="false">IF($A45="","",IFERROR(INDEX('ZIP Database'!$B:$B,MATCH(LEFT(TEXT($A45,"00000"),3),'ZIP Database'!$A:$A,0))&amp;", "&amp;INDEX('ZIP Database'!$C:$C,MATCH(LEFT(TEXT($A45,"00000"),3),'ZIP Database'!$A:$A,0)),"not found"))</f>
        <v/>
      </c>
      <c r="D45" s="25" t="str">
        <f aca="false">IF($B45="","",IFERROR(INDEX('ZIP Database'!$B:$B,MATCH(LEFT(TEXT($B45,"00000"),3),'ZIP Database'!$A:$A,0))&amp;", "&amp;INDEX('ZIP Database'!$C:$C,MATCH(LEFT(TEXT($B45,"00000"),3),'ZIP Database'!$A:$A,0)),"not found"))</f>
        <v/>
      </c>
      <c r="E45" s="26" t="str">
        <f aca="false">IF(OR($A45="",$B45=""),"",IFERROR(ROUND(3958.8*ACOS(MIN(1,SIN(RADIANS(INDEX('ZIP Database'!$D:$D,MATCH(LEFT(TEXT($A45,"00000"),3),'ZIP Database'!$A:$A,0))))*SIN(RADIANS(INDEX('ZIP Database'!$D:$D,MATCH(LEFT(TEXT($B45,"00000"),3),'ZIP Database'!$A:$A,0))))+COS(RADIANS(INDEX('ZIP Database'!$D:$D,MATCH(LEFT(TEXT($A45,"00000"),3),'ZIP Database'!$A:$A,0))))*COS(RADIANS(INDEX('ZIP Database'!$D:$D,MATCH(LEFT(TEXT($B45,"00000"),3),'ZIP Database'!$A:$A,0))))*COS(RADIANS(INDEX('ZIP Database'!$E:$E,MATCH(LEFT(TEXT($B45,"00000"),3),'ZIP Database'!$A:$A,0))-INDEX('ZIP Database'!$E:$E,MATCH(LEFT(TEXT($A45,"00000"),3),'ZIP Database'!$A:$A,0)))))),1),"not found"))</f>
        <v/>
      </c>
      <c r="F45" s="27" t="str">
        <f aca="false">IF(OR($E45="",$E45="not found"),"",ROUND($E45*'Quote Calculator'!$C$9,0))</f>
        <v/>
      </c>
      <c r="G45" s="28"/>
      <c r="H45" s="29"/>
      <c r="I45" s="28"/>
      <c r="J45" s="30" t="str">
        <f aca="false">IF($F45="","",MAX($F45*IF($G45="",'Quote Calculator'!$C$6,$G45)*(1+IF($H45="",'Quote Calculator'!$C$7,$H45)),IF($I45="",'Quote Calculator'!$C$8,$I45)))</f>
        <v/>
      </c>
    </row>
    <row r="46" customFormat="false" ht="15" hidden="false" customHeight="false" outlineLevel="0" collapsed="false">
      <c r="A46" s="24"/>
      <c r="B46" s="24"/>
      <c r="C46" s="25" t="str">
        <f aca="false">IF($A46="","",IFERROR(INDEX('ZIP Database'!$B:$B,MATCH(LEFT(TEXT($A46,"00000"),3),'ZIP Database'!$A:$A,0))&amp;", "&amp;INDEX('ZIP Database'!$C:$C,MATCH(LEFT(TEXT($A46,"00000"),3),'ZIP Database'!$A:$A,0)),"not found"))</f>
        <v/>
      </c>
      <c r="D46" s="25" t="str">
        <f aca="false">IF($B46="","",IFERROR(INDEX('ZIP Database'!$B:$B,MATCH(LEFT(TEXT($B46,"00000"),3),'ZIP Database'!$A:$A,0))&amp;", "&amp;INDEX('ZIP Database'!$C:$C,MATCH(LEFT(TEXT($B46,"00000"),3),'ZIP Database'!$A:$A,0)),"not found"))</f>
        <v/>
      </c>
      <c r="E46" s="26" t="str">
        <f aca="false">IF(OR($A46="",$B46=""),"",IFERROR(ROUND(3958.8*ACOS(MIN(1,SIN(RADIANS(INDEX('ZIP Database'!$D:$D,MATCH(LEFT(TEXT($A46,"00000"),3),'ZIP Database'!$A:$A,0))))*SIN(RADIANS(INDEX('ZIP Database'!$D:$D,MATCH(LEFT(TEXT($B46,"00000"),3),'ZIP Database'!$A:$A,0))))+COS(RADIANS(INDEX('ZIP Database'!$D:$D,MATCH(LEFT(TEXT($A46,"00000"),3),'ZIP Database'!$A:$A,0))))*COS(RADIANS(INDEX('ZIP Database'!$D:$D,MATCH(LEFT(TEXT($B46,"00000"),3),'ZIP Database'!$A:$A,0))))*COS(RADIANS(INDEX('ZIP Database'!$E:$E,MATCH(LEFT(TEXT($B46,"00000"),3),'ZIP Database'!$A:$A,0))-INDEX('ZIP Database'!$E:$E,MATCH(LEFT(TEXT($A46,"00000"),3),'ZIP Database'!$A:$A,0)))))),1),"not found"))</f>
        <v/>
      </c>
      <c r="F46" s="27" t="str">
        <f aca="false">IF(OR($E46="",$E46="not found"),"",ROUND($E46*'Quote Calculator'!$C$9,0))</f>
        <v/>
      </c>
      <c r="G46" s="28"/>
      <c r="H46" s="29"/>
      <c r="I46" s="28"/>
      <c r="J46" s="30" t="str">
        <f aca="false">IF($F46="","",MAX($F46*IF($G46="",'Quote Calculator'!$C$6,$G46)*(1+IF($H46="",'Quote Calculator'!$C$7,$H46)),IF($I46="",'Quote Calculator'!$C$8,$I46)))</f>
        <v/>
      </c>
    </row>
    <row r="47" customFormat="false" ht="15" hidden="false" customHeight="false" outlineLevel="0" collapsed="false">
      <c r="A47" s="24"/>
      <c r="B47" s="24"/>
      <c r="C47" s="25" t="str">
        <f aca="false">IF($A47="","",IFERROR(INDEX('ZIP Database'!$B:$B,MATCH(LEFT(TEXT($A47,"00000"),3),'ZIP Database'!$A:$A,0))&amp;", "&amp;INDEX('ZIP Database'!$C:$C,MATCH(LEFT(TEXT($A47,"00000"),3),'ZIP Database'!$A:$A,0)),"not found"))</f>
        <v/>
      </c>
      <c r="D47" s="25" t="str">
        <f aca="false">IF($B47="","",IFERROR(INDEX('ZIP Database'!$B:$B,MATCH(LEFT(TEXT($B47,"00000"),3),'ZIP Database'!$A:$A,0))&amp;", "&amp;INDEX('ZIP Database'!$C:$C,MATCH(LEFT(TEXT($B47,"00000"),3),'ZIP Database'!$A:$A,0)),"not found"))</f>
        <v/>
      </c>
      <c r="E47" s="26" t="str">
        <f aca="false">IF(OR($A47="",$B47=""),"",IFERROR(ROUND(3958.8*ACOS(MIN(1,SIN(RADIANS(INDEX('ZIP Database'!$D:$D,MATCH(LEFT(TEXT($A47,"00000"),3),'ZIP Database'!$A:$A,0))))*SIN(RADIANS(INDEX('ZIP Database'!$D:$D,MATCH(LEFT(TEXT($B47,"00000"),3),'ZIP Database'!$A:$A,0))))+COS(RADIANS(INDEX('ZIP Database'!$D:$D,MATCH(LEFT(TEXT($A47,"00000"),3),'ZIP Database'!$A:$A,0))))*COS(RADIANS(INDEX('ZIP Database'!$D:$D,MATCH(LEFT(TEXT($B47,"00000"),3),'ZIP Database'!$A:$A,0))))*COS(RADIANS(INDEX('ZIP Database'!$E:$E,MATCH(LEFT(TEXT($B47,"00000"),3),'ZIP Database'!$A:$A,0))-INDEX('ZIP Database'!$E:$E,MATCH(LEFT(TEXT($A47,"00000"),3),'ZIP Database'!$A:$A,0)))))),1),"not found"))</f>
        <v/>
      </c>
      <c r="F47" s="27" t="str">
        <f aca="false">IF(OR($E47="",$E47="not found"),"",ROUND($E47*'Quote Calculator'!$C$9,0))</f>
        <v/>
      </c>
      <c r="G47" s="28"/>
      <c r="H47" s="29"/>
      <c r="I47" s="28"/>
      <c r="J47" s="30" t="str">
        <f aca="false">IF($F47="","",MAX($F47*IF($G47="",'Quote Calculator'!$C$6,$G47)*(1+IF($H47="",'Quote Calculator'!$C$7,$H47)),IF($I47="",'Quote Calculator'!$C$8,$I47)))</f>
        <v/>
      </c>
    </row>
    <row r="48" customFormat="false" ht="15" hidden="false" customHeight="false" outlineLevel="0" collapsed="false">
      <c r="A48" s="24"/>
      <c r="B48" s="24"/>
      <c r="C48" s="25" t="str">
        <f aca="false">IF($A48="","",IFERROR(INDEX('ZIP Database'!$B:$B,MATCH(LEFT(TEXT($A48,"00000"),3),'ZIP Database'!$A:$A,0))&amp;", "&amp;INDEX('ZIP Database'!$C:$C,MATCH(LEFT(TEXT($A48,"00000"),3),'ZIP Database'!$A:$A,0)),"not found"))</f>
        <v/>
      </c>
      <c r="D48" s="25" t="str">
        <f aca="false">IF($B48="","",IFERROR(INDEX('ZIP Database'!$B:$B,MATCH(LEFT(TEXT($B48,"00000"),3),'ZIP Database'!$A:$A,0))&amp;", "&amp;INDEX('ZIP Database'!$C:$C,MATCH(LEFT(TEXT($B48,"00000"),3),'ZIP Database'!$A:$A,0)),"not found"))</f>
        <v/>
      </c>
      <c r="E48" s="26" t="str">
        <f aca="false">IF(OR($A48="",$B48=""),"",IFERROR(ROUND(3958.8*ACOS(MIN(1,SIN(RADIANS(INDEX('ZIP Database'!$D:$D,MATCH(LEFT(TEXT($A48,"00000"),3),'ZIP Database'!$A:$A,0))))*SIN(RADIANS(INDEX('ZIP Database'!$D:$D,MATCH(LEFT(TEXT($B48,"00000"),3),'ZIP Database'!$A:$A,0))))+COS(RADIANS(INDEX('ZIP Database'!$D:$D,MATCH(LEFT(TEXT($A48,"00000"),3),'ZIP Database'!$A:$A,0))))*COS(RADIANS(INDEX('ZIP Database'!$D:$D,MATCH(LEFT(TEXT($B48,"00000"),3),'ZIP Database'!$A:$A,0))))*COS(RADIANS(INDEX('ZIP Database'!$E:$E,MATCH(LEFT(TEXT($B48,"00000"),3),'ZIP Database'!$A:$A,0))-INDEX('ZIP Database'!$E:$E,MATCH(LEFT(TEXT($A48,"00000"),3),'ZIP Database'!$A:$A,0)))))),1),"not found"))</f>
        <v/>
      </c>
      <c r="F48" s="27" t="str">
        <f aca="false">IF(OR($E48="",$E48="not found"),"",ROUND($E48*'Quote Calculator'!$C$9,0))</f>
        <v/>
      </c>
      <c r="G48" s="28"/>
      <c r="H48" s="29"/>
      <c r="I48" s="28"/>
      <c r="J48" s="30" t="str">
        <f aca="false">IF($F48="","",MAX($F48*IF($G48="",'Quote Calculator'!$C$6,$G48)*(1+IF($H48="",'Quote Calculator'!$C$7,$H48)),IF($I48="",'Quote Calculator'!$C$8,$I48)))</f>
        <v/>
      </c>
    </row>
    <row r="49" customFormat="false" ht="15" hidden="false" customHeight="false" outlineLevel="0" collapsed="false">
      <c r="A49" s="24"/>
      <c r="B49" s="24"/>
      <c r="C49" s="25" t="str">
        <f aca="false">IF($A49="","",IFERROR(INDEX('ZIP Database'!$B:$B,MATCH(LEFT(TEXT($A49,"00000"),3),'ZIP Database'!$A:$A,0))&amp;", "&amp;INDEX('ZIP Database'!$C:$C,MATCH(LEFT(TEXT($A49,"00000"),3),'ZIP Database'!$A:$A,0)),"not found"))</f>
        <v/>
      </c>
      <c r="D49" s="25" t="str">
        <f aca="false">IF($B49="","",IFERROR(INDEX('ZIP Database'!$B:$B,MATCH(LEFT(TEXT($B49,"00000"),3),'ZIP Database'!$A:$A,0))&amp;", "&amp;INDEX('ZIP Database'!$C:$C,MATCH(LEFT(TEXT($B49,"00000"),3),'ZIP Database'!$A:$A,0)),"not found"))</f>
        <v/>
      </c>
      <c r="E49" s="26" t="str">
        <f aca="false">IF(OR($A49="",$B49=""),"",IFERROR(ROUND(3958.8*ACOS(MIN(1,SIN(RADIANS(INDEX('ZIP Database'!$D:$D,MATCH(LEFT(TEXT($A49,"00000"),3),'ZIP Database'!$A:$A,0))))*SIN(RADIANS(INDEX('ZIP Database'!$D:$D,MATCH(LEFT(TEXT($B49,"00000"),3),'ZIP Database'!$A:$A,0))))+COS(RADIANS(INDEX('ZIP Database'!$D:$D,MATCH(LEFT(TEXT($A49,"00000"),3),'ZIP Database'!$A:$A,0))))*COS(RADIANS(INDEX('ZIP Database'!$D:$D,MATCH(LEFT(TEXT($B49,"00000"),3),'ZIP Database'!$A:$A,0))))*COS(RADIANS(INDEX('ZIP Database'!$E:$E,MATCH(LEFT(TEXT($B49,"00000"),3),'ZIP Database'!$A:$A,0))-INDEX('ZIP Database'!$E:$E,MATCH(LEFT(TEXT($A49,"00000"),3),'ZIP Database'!$A:$A,0)))))),1),"not found"))</f>
        <v/>
      </c>
      <c r="F49" s="27" t="str">
        <f aca="false">IF(OR($E49="",$E49="not found"),"",ROUND($E49*'Quote Calculator'!$C$9,0))</f>
        <v/>
      </c>
      <c r="G49" s="28"/>
      <c r="H49" s="29"/>
      <c r="I49" s="28"/>
      <c r="J49" s="30" t="str">
        <f aca="false">IF($F49="","",MAX($F49*IF($G49="",'Quote Calculator'!$C$6,$G49)*(1+IF($H49="",'Quote Calculator'!$C$7,$H49)),IF($I49="",'Quote Calculator'!$C$8,$I49)))</f>
        <v/>
      </c>
    </row>
    <row r="50" customFormat="false" ht="15" hidden="false" customHeight="false" outlineLevel="0" collapsed="false">
      <c r="A50" s="24"/>
      <c r="B50" s="24"/>
      <c r="C50" s="25" t="str">
        <f aca="false">IF($A50="","",IFERROR(INDEX('ZIP Database'!$B:$B,MATCH(LEFT(TEXT($A50,"00000"),3),'ZIP Database'!$A:$A,0))&amp;", "&amp;INDEX('ZIP Database'!$C:$C,MATCH(LEFT(TEXT($A50,"00000"),3),'ZIP Database'!$A:$A,0)),"not found"))</f>
        <v/>
      </c>
      <c r="D50" s="25" t="str">
        <f aca="false">IF($B50="","",IFERROR(INDEX('ZIP Database'!$B:$B,MATCH(LEFT(TEXT($B50,"00000"),3),'ZIP Database'!$A:$A,0))&amp;", "&amp;INDEX('ZIP Database'!$C:$C,MATCH(LEFT(TEXT($B50,"00000"),3),'ZIP Database'!$A:$A,0)),"not found"))</f>
        <v/>
      </c>
      <c r="E50" s="26" t="str">
        <f aca="false">IF(OR($A50="",$B50=""),"",IFERROR(ROUND(3958.8*ACOS(MIN(1,SIN(RADIANS(INDEX('ZIP Database'!$D:$D,MATCH(LEFT(TEXT($A50,"00000"),3),'ZIP Database'!$A:$A,0))))*SIN(RADIANS(INDEX('ZIP Database'!$D:$D,MATCH(LEFT(TEXT($B50,"00000"),3),'ZIP Database'!$A:$A,0))))+COS(RADIANS(INDEX('ZIP Database'!$D:$D,MATCH(LEFT(TEXT($A50,"00000"),3),'ZIP Database'!$A:$A,0))))*COS(RADIANS(INDEX('ZIP Database'!$D:$D,MATCH(LEFT(TEXT($B50,"00000"),3),'ZIP Database'!$A:$A,0))))*COS(RADIANS(INDEX('ZIP Database'!$E:$E,MATCH(LEFT(TEXT($B50,"00000"),3),'ZIP Database'!$A:$A,0))-INDEX('ZIP Database'!$E:$E,MATCH(LEFT(TEXT($A50,"00000"),3),'ZIP Database'!$A:$A,0)))))),1),"not found"))</f>
        <v/>
      </c>
      <c r="F50" s="27" t="str">
        <f aca="false">IF(OR($E50="",$E50="not found"),"",ROUND($E50*'Quote Calculator'!$C$9,0))</f>
        <v/>
      </c>
      <c r="G50" s="28"/>
      <c r="H50" s="29"/>
      <c r="I50" s="28"/>
      <c r="J50" s="30" t="str">
        <f aca="false">IF($F50="","",MAX($F50*IF($G50="",'Quote Calculator'!$C$6,$G50)*(1+IF($H50="",'Quote Calculator'!$C$7,$H50)),IF($I50="",'Quote Calculator'!$C$8,$I50)))</f>
        <v/>
      </c>
    </row>
    <row r="51" customFormat="false" ht="15" hidden="false" customHeight="false" outlineLevel="0" collapsed="false">
      <c r="A51" s="24"/>
      <c r="B51" s="24"/>
      <c r="C51" s="25" t="str">
        <f aca="false">IF($A51="","",IFERROR(INDEX('ZIP Database'!$B:$B,MATCH(LEFT(TEXT($A51,"00000"),3),'ZIP Database'!$A:$A,0))&amp;", "&amp;INDEX('ZIP Database'!$C:$C,MATCH(LEFT(TEXT($A51,"00000"),3),'ZIP Database'!$A:$A,0)),"not found"))</f>
        <v/>
      </c>
      <c r="D51" s="25" t="str">
        <f aca="false">IF($B51="","",IFERROR(INDEX('ZIP Database'!$B:$B,MATCH(LEFT(TEXT($B51,"00000"),3),'ZIP Database'!$A:$A,0))&amp;", "&amp;INDEX('ZIP Database'!$C:$C,MATCH(LEFT(TEXT($B51,"00000"),3),'ZIP Database'!$A:$A,0)),"not found"))</f>
        <v/>
      </c>
      <c r="E51" s="26" t="str">
        <f aca="false">IF(OR($A51="",$B51=""),"",IFERROR(ROUND(3958.8*ACOS(MIN(1,SIN(RADIANS(INDEX('ZIP Database'!$D:$D,MATCH(LEFT(TEXT($A51,"00000"),3),'ZIP Database'!$A:$A,0))))*SIN(RADIANS(INDEX('ZIP Database'!$D:$D,MATCH(LEFT(TEXT($B51,"00000"),3),'ZIP Database'!$A:$A,0))))+COS(RADIANS(INDEX('ZIP Database'!$D:$D,MATCH(LEFT(TEXT($A51,"00000"),3),'ZIP Database'!$A:$A,0))))*COS(RADIANS(INDEX('ZIP Database'!$D:$D,MATCH(LEFT(TEXT($B51,"00000"),3),'ZIP Database'!$A:$A,0))))*COS(RADIANS(INDEX('ZIP Database'!$E:$E,MATCH(LEFT(TEXT($B51,"00000"),3),'ZIP Database'!$A:$A,0))-INDEX('ZIP Database'!$E:$E,MATCH(LEFT(TEXT($A51,"00000"),3),'ZIP Database'!$A:$A,0)))))),1),"not found"))</f>
        <v/>
      </c>
      <c r="F51" s="27" t="str">
        <f aca="false">IF(OR($E51="",$E51="not found"),"",ROUND($E51*'Quote Calculator'!$C$9,0))</f>
        <v/>
      </c>
      <c r="G51" s="28"/>
      <c r="H51" s="29"/>
      <c r="I51" s="28"/>
      <c r="J51" s="30" t="str">
        <f aca="false">IF($F51="","",MAX($F51*IF($G51="",'Quote Calculator'!$C$6,$G51)*(1+IF($H51="",'Quote Calculator'!$C$7,$H51)),IF($I51="",'Quote Calculator'!$C$8,$I51)))</f>
        <v/>
      </c>
    </row>
    <row r="52" customFormat="false" ht="15" hidden="false" customHeight="false" outlineLevel="0" collapsed="false">
      <c r="A52" s="24"/>
      <c r="B52" s="24"/>
      <c r="C52" s="25" t="str">
        <f aca="false">IF($A52="","",IFERROR(INDEX('ZIP Database'!$B:$B,MATCH(LEFT(TEXT($A52,"00000"),3),'ZIP Database'!$A:$A,0))&amp;", "&amp;INDEX('ZIP Database'!$C:$C,MATCH(LEFT(TEXT($A52,"00000"),3),'ZIP Database'!$A:$A,0)),"not found"))</f>
        <v/>
      </c>
      <c r="D52" s="25" t="str">
        <f aca="false">IF($B52="","",IFERROR(INDEX('ZIP Database'!$B:$B,MATCH(LEFT(TEXT($B52,"00000"),3),'ZIP Database'!$A:$A,0))&amp;", "&amp;INDEX('ZIP Database'!$C:$C,MATCH(LEFT(TEXT($B52,"00000"),3),'ZIP Database'!$A:$A,0)),"not found"))</f>
        <v/>
      </c>
      <c r="E52" s="26" t="str">
        <f aca="false">IF(OR($A52="",$B52=""),"",IFERROR(ROUND(3958.8*ACOS(MIN(1,SIN(RADIANS(INDEX('ZIP Database'!$D:$D,MATCH(LEFT(TEXT($A52,"00000"),3),'ZIP Database'!$A:$A,0))))*SIN(RADIANS(INDEX('ZIP Database'!$D:$D,MATCH(LEFT(TEXT($B52,"00000"),3),'ZIP Database'!$A:$A,0))))+COS(RADIANS(INDEX('ZIP Database'!$D:$D,MATCH(LEFT(TEXT($A52,"00000"),3),'ZIP Database'!$A:$A,0))))*COS(RADIANS(INDEX('ZIP Database'!$D:$D,MATCH(LEFT(TEXT($B52,"00000"),3),'ZIP Database'!$A:$A,0))))*COS(RADIANS(INDEX('ZIP Database'!$E:$E,MATCH(LEFT(TEXT($B52,"00000"),3),'ZIP Database'!$A:$A,0))-INDEX('ZIP Database'!$E:$E,MATCH(LEFT(TEXT($A52,"00000"),3),'ZIP Database'!$A:$A,0)))))),1),"not found"))</f>
        <v/>
      </c>
      <c r="F52" s="27" t="str">
        <f aca="false">IF(OR($E52="",$E52="not found"),"",ROUND($E52*'Quote Calculator'!$C$9,0))</f>
        <v/>
      </c>
      <c r="G52" s="28"/>
      <c r="H52" s="29"/>
      <c r="I52" s="28"/>
      <c r="J52" s="30" t="str">
        <f aca="false">IF($F52="","",MAX($F52*IF($G52="",'Quote Calculator'!$C$6,$G52)*(1+IF($H52="",'Quote Calculator'!$C$7,$H52)),IF($I52="",'Quote Calculator'!$C$8,$I52)))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0"/>
  </cols>
  <sheetData>
    <row r="1" customFormat="false" ht="16.15" hidden="false" customHeight="false" outlineLevel="0" collapsed="false">
      <c r="A1" s="31" t="s">
        <v>1592</v>
      </c>
    </row>
    <row r="2" customFormat="false" ht="15" hidden="false" customHeight="false" outlineLevel="0" collapsed="false">
      <c r="A2" s="32"/>
    </row>
    <row r="3" customFormat="false" ht="15" hidden="false" customHeight="false" outlineLevel="0" collapsed="false">
      <c r="A3" s="33" t="s">
        <v>1593</v>
      </c>
    </row>
    <row r="4" customFormat="false" ht="15" hidden="false" customHeight="false" outlineLevel="0" collapsed="false">
      <c r="A4" s="32" t="s">
        <v>1594</v>
      </c>
    </row>
    <row r="5" customFormat="false" ht="15" hidden="false" customHeight="false" outlineLevel="0" collapsed="false">
      <c r="A5" s="32" t="s">
        <v>1595</v>
      </c>
    </row>
    <row r="6" customFormat="false" ht="15" hidden="false" customHeight="false" outlineLevel="0" collapsed="false">
      <c r="A6" s="32"/>
    </row>
    <row r="7" customFormat="false" ht="15" hidden="false" customHeight="false" outlineLevel="0" collapsed="false">
      <c r="A7" s="33" t="s">
        <v>1596</v>
      </c>
    </row>
    <row r="8" customFormat="false" ht="15" hidden="false" customHeight="false" outlineLevel="0" collapsed="false">
      <c r="A8" s="32" t="s">
        <v>1597</v>
      </c>
    </row>
    <row r="9" customFormat="false" ht="15" hidden="false" customHeight="false" outlineLevel="0" collapsed="false">
      <c r="A9" s="32" t="s">
        <v>1598</v>
      </c>
    </row>
    <row r="10" customFormat="false" ht="15" hidden="false" customHeight="false" outlineLevel="0" collapsed="false">
      <c r="A10" s="32" t="s">
        <v>1599</v>
      </c>
    </row>
    <row r="11" customFormat="false" ht="15" hidden="false" customHeight="false" outlineLevel="0" collapsed="false">
      <c r="A11" s="32"/>
    </row>
    <row r="12" customFormat="false" ht="15" hidden="false" customHeight="false" outlineLevel="0" collapsed="false">
      <c r="A12" s="33" t="s">
        <v>1600</v>
      </c>
    </row>
    <row r="13" customFormat="false" ht="15" hidden="false" customHeight="false" outlineLevel="0" collapsed="false">
      <c r="A13" s="32" t="s">
        <v>1601</v>
      </c>
    </row>
    <row r="14" customFormat="false" ht="15" hidden="false" customHeight="false" outlineLevel="0" collapsed="false">
      <c r="A14" s="32" t="s">
        <v>1602</v>
      </c>
    </row>
    <row r="15" customFormat="false" ht="15" hidden="false" customHeight="false" outlineLevel="0" collapsed="false">
      <c r="A15" s="32"/>
    </row>
    <row r="16" customFormat="false" ht="15" hidden="false" customHeight="false" outlineLevel="0" collapsed="false">
      <c r="A16" s="33" t="s">
        <v>1603</v>
      </c>
    </row>
    <row r="17" customFormat="false" ht="15" hidden="false" customHeight="false" outlineLevel="0" collapsed="false">
      <c r="A17" s="32" t="s">
        <v>1604</v>
      </c>
    </row>
    <row r="18" customFormat="false" ht="15" hidden="false" customHeight="false" outlineLevel="0" collapsed="false">
      <c r="A18" s="32" t="s">
        <v>1605</v>
      </c>
    </row>
    <row r="19" customFormat="false" ht="15" hidden="false" customHeight="false" outlineLevel="0" collapsed="false">
      <c r="A19" s="32" t="s">
        <v>1606</v>
      </c>
    </row>
    <row r="20" customFormat="false" ht="15" hidden="false" customHeight="false" outlineLevel="0" collapsed="false">
      <c r="A20" s="32" t="s">
        <v>1607</v>
      </c>
    </row>
    <row r="21" customFormat="false" ht="15" hidden="false" customHeight="false" outlineLevel="0" collapsed="false">
      <c r="A21" s="32"/>
    </row>
    <row r="22" customFormat="false" ht="15" hidden="false" customHeight="false" outlineLevel="0" collapsed="false">
      <c r="A22" s="33" t="s">
        <v>1608</v>
      </c>
    </row>
    <row r="23" customFormat="false" ht="15" hidden="false" customHeight="false" outlineLevel="0" collapsed="false">
      <c r="A23" s="32" t="s">
        <v>1609</v>
      </c>
    </row>
    <row r="24" customFormat="false" ht="15" hidden="false" customHeight="false" outlineLevel="0" collapsed="false">
      <c r="A24" s="32" t="s">
        <v>1610</v>
      </c>
    </row>
    <row r="25" customFormat="false" ht="15" hidden="false" customHeight="false" outlineLevel="0" collapsed="false">
      <c r="A25" s="32" t="s">
        <v>1611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2026-07-02T14:10:48Z</dcterms:created>
  <dc:creator>openpyxl</dc:creator>
  <dc:description/>
  <dc:language>en-US</dc:language>
  <cp:lastModifiedBy/>
  <dcterms:modified xsi:type="dcterms:W3CDTF">2026-07-02T14:10:48Z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